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hmd3s\Downloads\"/>
    </mc:Choice>
  </mc:AlternateContent>
  <xr:revisionPtr revIDLastSave="0" documentId="13_ncr:1_{8A0583A6-78A8-420F-99D6-19DDD1D0C18F}" xr6:coauthVersionLast="47" xr6:coauthVersionMax="47" xr10:uidLastSave="{00000000-0000-0000-0000-000000000000}"/>
  <bookViews>
    <workbookView xWindow="57480" yWindow="-120" windowWidth="29040" windowHeight="15720" tabRatio="890" activeTab="4" xr2:uid="{84A1CE52-DE43-4820-92E7-DD8CFDFA272A}"/>
  </bookViews>
  <sheets>
    <sheet name="202540 (Raw)" sheetId="2" r:id="rId1"/>
    <sheet name="Normalization" sheetId="3" r:id="rId2"/>
    <sheet name="Table" sheetId="4" r:id="rId3"/>
    <sheet name="Design" sheetId="5" state="hidden" r:id="rId4"/>
    <sheet name="Dashboard" sheetId="8" r:id="rId5"/>
  </sheets>
  <definedNames>
    <definedName name="_xlnm._FilterDatabase" localSheetId="0" hidden="1">'202540 (Raw)'!$A$1:$O$365</definedName>
    <definedName name="ExternalData_1" localSheetId="2" hidden="1">Table!$A$1:$O$365</definedName>
    <definedName name="Slicer_Sex">#N/A</definedName>
  </definedNames>
  <calcPr calcId="191028"/>
  <pivotCaches>
    <pivotCache cacheId="0" r:id="rId6"/>
    <pivotCache cacheId="1" r:id="rId7"/>
    <pivotCache cacheId="2" r:id="rId8"/>
    <pivotCache cacheId="3"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 i="5" l="1"/>
  <c r="D20" i="5"/>
  <c r="D17" i="5"/>
  <c r="D15" i="5"/>
  <c r="D19" i="5"/>
  <c r="D16"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3AEC6F0-8540-48E9-BDF9-5523B5429FC8}"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<sst xmlns="http://schemas.openxmlformats.org/spreadsheetml/2006/main" count="14207" uniqueCount="953">
  <si>
    <t>Accountancy-MACC</t>
  </si>
  <si>
    <t>Agriculture-MS</t>
  </si>
  <si>
    <t>Appld Secnd Lang Acquisn-MASLA</t>
  </si>
  <si>
    <t>Audiology-AUD</t>
  </si>
  <si>
    <t>Biology-MS</t>
  </si>
  <si>
    <t>Business Admin-MBA</t>
  </si>
  <si>
    <t>Business Admin-STEM-MBA</t>
  </si>
  <si>
    <t>Chemistry-MS</t>
  </si>
  <si>
    <t>Communication-MA</t>
  </si>
  <si>
    <t>Computer Science-MS</t>
  </si>
  <si>
    <t>Counseling/Clin Mental Hlth-MS</t>
  </si>
  <si>
    <t>Dramatic Writing-MFA</t>
  </si>
  <si>
    <t>Edu Admin/Elementary-MSED</t>
  </si>
  <si>
    <t>Educational Technology-MSED</t>
  </si>
  <si>
    <t>English-MA</t>
  </si>
  <si>
    <t>Gry and Glg/Geospatial-MS</t>
  </si>
  <si>
    <t>Health Promo &amp; Wellness Mgt-MS</t>
  </si>
  <si>
    <t>Information Technology-MS</t>
  </si>
  <si>
    <t>International Affairs-MIA</t>
  </si>
  <si>
    <t>Kinesiology-MS</t>
  </si>
  <si>
    <t>Materials Science-MS</t>
  </si>
  <si>
    <t>Mathematics-MS</t>
  </si>
  <si>
    <t>Music, Master of-MM</t>
  </si>
  <si>
    <t>Natural &amp; Applied Sci-CS-MNAS</t>
  </si>
  <si>
    <t>Plant Science-EP Dept-MS</t>
  </si>
  <si>
    <t>Professional Studies-MPS</t>
  </si>
  <si>
    <t>Project Management-MS</t>
  </si>
  <si>
    <t>Project Managemnt-Accelrted-MS</t>
  </si>
  <si>
    <t>Psychology/Industrial Org-MS</t>
  </si>
  <si>
    <t>Public Health-MPH</t>
  </si>
  <si>
    <t>Secondery Ed/English-MSED</t>
  </si>
  <si>
    <t>Special Ed/Autism Spectrm-MSED</t>
  </si>
  <si>
    <t>Visual Studies-MFA</t>
  </si>
  <si>
    <t>Name</t>
  </si>
  <si>
    <t>M Number</t>
  </si>
  <si>
    <t>SEVIS Number</t>
  </si>
  <si>
    <t>SEVIS Status</t>
  </si>
  <si>
    <t>Visa Type</t>
  </si>
  <si>
    <t>Sex</t>
  </si>
  <si>
    <t>Program of Study</t>
  </si>
  <si>
    <t>Graduate Assistantship</t>
  </si>
  <si>
    <t>Scholarship</t>
  </si>
  <si>
    <t>I-901 Fee</t>
  </si>
  <si>
    <t>Visa</t>
  </si>
  <si>
    <t>Notes</t>
  </si>
  <si>
    <t>Country of Birth</t>
  </si>
  <si>
    <t>Country of Citizenship</t>
  </si>
  <si>
    <t>Stage Status</t>
  </si>
  <si>
    <t>Initial</t>
  </si>
  <si>
    <t>F-1</t>
  </si>
  <si>
    <t>Female</t>
  </si>
  <si>
    <t>Yes</t>
  </si>
  <si>
    <t>No</t>
  </si>
  <si>
    <t>Brazil</t>
  </si>
  <si>
    <t>Pre Arrival</t>
  </si>
  <si>
    <t>Male</t>
  </si>
  <si>
    <t>Ghana</t>
  </si>
  <si>
    <t>Nigeria</t>
  </si>
  <si>
    <t>Denied</t>
  </si>
  <si>
    <t>Bangladesh</t>
  </si>
  <si>
    <t>MOGO</t>
  </si>
  <si>
    <t>Nepal</t>
  </si>
  <si>
    <t>Transfer-Out</t>
  </si>
  <si>
    <t>India</t>
  </si>
  <si>
    <t>IPFW</t>
  </si>
  <si>
    <t>IPFW/Refund</t>
  </si>
  <si>
    <t>Pakistan</t>
  </si>
  <si>
    <t>Kenya</t>
  </si>
  <si>
    <t>Emailed for Update</t>
  </si>
  <si>
    <t>Iran</t>
  </si>
  <si>
    <t>Deferred SP26</t>
  </si>
  <si>
    <t>Peru</t>
  </si>
  <si>
    <t>Malawi</t>
  </si>
  <si>
    <t>Malaysia</t>
  </si>
  <si>
    <t>Vietnam</t>
  </si>
  <si>
    <t>China</t>
  </si>
  <si>
    <t>Enrolled</t>
  </si>
  <si>
    <t>Mongolia</t>
  </si>
  <si>
    <t>Spain</t>
  </si>
  <si>
    <t>Benin</t>
  </si>
  <si>
    <t>Transfer</t>
  </si>
  <si>
    <t>MOGO/REFUND</t>
  </si>
  <si>
    <t>Tanzania</t>
  </si>
  <si>
    <t>Russia</t>
  </si>
  <si>
    <t>Japan</t>
  </si>
  <si>
    <t>Gambia, The</t>
  </si>
  <si>
    <t>Bosnia and Herzegovina</t>
  </si>
  <si>
    <t>Uganda</t>
  </si>
  <si>
    <t>Turkey</t>
  </si>
  <si>
    <t>Zambia</t>
  </si>
  <si>
    <t>South Korea</t>
  </si>
  <si>
    <t>enrolled</t>
  </si>
  <si>
    <t>no</t>
  </si>
  <si>
    <t>Draft</t>
  </si>
  <si>
    <t>Mexico</t>
  </si>
  <si>
    <t>Indonesia</t>
  </si>
  <si>
    <t>Ethiopia</t>
  </si>
  <si>
    <t>Portugal</t>
  </si>
  <si>
    <t>Italy</t>
  </si>
  <si>
    <t>Kazakhstan</t>
  </si>
  <si>
    <t>Poland</t>
  </si>
  <si>
    <t>N0000000001</t>
  </si>
  <si>
    <t>N0000000002</t>
  </si>
  <si>
    <t>N0000000003</t>
  </si>
  <si>
    <t>N0000000004</t>
  </si>
  <si>
    <t>N0000000005</t>
  </si>
  <si>
    <t>N0000000006</t>
  </si>
  <si>
    <t>N0000000007</t>
  </si>
  <si>
    <t>N0000000008</t>
  </si>
  <si>
    <t>N0000000009</t>
  </si>
  <si>
    <t>N0000000010</t>
  </si>
  <si>
    <t>N0000000011</t>
  </si>
  <si>
    <t>N0000000012</t>
  </si>
  <si>
    <t>N0000000013</t>
  </si>
  <si>
    <t>N0000000014</t>
  </si>
  <si>
    <t>N0000000015</t>
  </si>
  <si>
    <t>N0000000016</t>
  </si>
  <si>
    <t>N0000000017</t>
  </si>
  <si>
    <t>N0000000018</t>
  </si>
  <si>
    <t>N0000000019</t>
  </si>
  <si>
    <t>N0000000020</t>
  </si>
  <si>
    <t>N0000000021</t>
  </si>
  <si>
    <t>N0000000022</t>
  </si>
  <si>
    <t>N0000000023</t>
  </si>
  <si>
    <t>N0000000024</t>
  </si>
  <si>
    <t>N0000000025</t>
  </si>
  <si>
    <t>N0000000026</t>
  </si>
  <si>
    <t>N0000000027</t>
  </si>
  <si>
    <t>N0000000028</t>
  </si>
  <si>
    <t>N0000000029</t>
  </si>
  <si>
    <t>N0000000030</t>
  </si>
  <si>
    <t>N0000000031</t>
  </si>
  <si>
    <t>N0000000032</t>
  </si>
  <si>
    <t>N0000000033</t>
  </si>
  <si>
    <t>N0000000034</t>
  </si>
  <si>
    <t>N0000000035</t>
  </si>
  <si>
    <t>N0000000036</t>
  </si>
  <si>
    <t>N0000000037</t>
  </si>
  <si>
    <t>N0000000038</t>
  </si>
  <si>
    <t>N0000000039</t>
  </si>
  <si>
    <t>N0000000040</t>
  </si>
  <si>
    <t>N0000000041</t>
  </si>
  <si>
    <t>N0000000042</t>
  </si>
  <si>
    <t>N0000000043</t>
  </si>
  <si>
    <t>N0000000044</t>
  </si>
  <si>
    <t>N0000000045</t>
  </si>
  <si>
    <t>N0000000046</t>
  </si>
  <si>
    <t>N0000000047</t>
  </si>
  <si>
    <t>N0000000048</t>
  </si>
  <si>
    <t>N0000000049</t>
  </si>
  <si>
    <t>N0000000050</t>
  </si>
  <si>
    <t>N0000000051</t>
  </si>
  <si>
    <t>N0000000052</t>
  </si>
  <si>
    <t>N0000000053</t>
  </si>
  <si>
    <t>N0000000054</t>
  </si>
  <si>
    <t>N0000000055</t>
  </si>
  <si>
    <t>N0000000056</t>
  </si>
  <si>
    <t>N0000000057</t>
  </si>
  <si>
    <t>N0000000058</t>
  </si>
  <si>
    <t>N0000000059</t>
  </si>
  <si>
    <t>N0000000060</t>
  </si>
  <si>
    <t>N0000000061</t>
  </si>
  <si>
    <t>N0000000062</t>
  </si>
  <si>
    <t>N0000000063</t>
  </si>
  <si>
    <t>N0000000064</t>
  </si>
  <si>
    <t>N0000000065</t>
  </si>
  <si>
    <t>N0000000066</t>
  </si>
  <si>
    <t>N0000000067</t>
  </si>
  <si>
    <t>N0000000068</t>
  </si>
  <si>
    <t>N0000000069</t>
  </si>
  <si>
    <t>N0000000070</t>
  </si>
  <si>
    <t>N0000000071</t>
  </si>
  <si>
    <t>N0000000072</t>
  </si>
  <si>
    <t>N0000000073</t>
  </si>
  <si>
    <t>N0000000074</t>
  </si>
  <si>
    <t>N0000000075</t>
  </si>
  <si>
    <t>N0000000076</t>
  </si>
  <si>
    <t>N0000000077</t>
  </si>
  <si>
    <t>N0000000078</t>
  </si>
  <si>
    <t>N0000000079</t>
  </si>
  <si>
    <t>N0000000080</t>
  </si>
  <si>
    <t>N0000000081</t>
  </si>
  <si>
    <t>N0000000082</t>
  </si>
  <si>
    <t>N0000000083</t>
  </si>
  <si>
    <t>N0000000084</t>
  </si>
  <si>
    <t>N0000000085</t>
  </si>
  <si>
    <t>N0000000086</t>
  </si>
  <si>
    <t>N0000000087</t>
  </si>
  <si>
    <t>N0000000088</t>
  </si>
  <si>
    <t>N0000000089</t>
  </si>
  <si>
    <t>N0000000090</t>
  </si>
  <si>
    <t>N0000000091</t>
  </si>
  <si>
    <t>N0000000092</t>
  </si>
  <si>
    <t>N0000000093</t>
  </si>
  <si>
    <t>N0000000094</t>
  </si>
  <si>
    <t>N0000000095</t>
  </si>
  <si>
    <t>N0000000096</t>
  </si>
  <si>
    <t>N0000000097</t>
  </si>
  <si>
    <t>N0000000098</t>
  </si>
  <si>
    <t>N0000000099</t>
  </si>
  <si>
    <t>N0000000100</t>
  </si>
  <si>
    <t>N0000000101</t>
  </si>
  <si>
    <t>N0000000102</t>
  </si>
  <si>
    <t>N0000000103</t>
  </si>
  <si>
    <t>N0000000104</t>
  </si>
  <si>
    <t>N0000000105</t>
  </si>
  <si>
    <t>N0000000106</t>
  </si>
  <si>
    <t>N0000000107</t>
  </si>
  <si>
    <t>N0000000108</t>
  </si>
  <si>
    <t>N0000000109</t>
  </si>
  <si>
    <t>N0000000110</t>
  </si>
  <si>
    <t>N0000000111</t>
  </si>
  <si>
    <t>N0000000112</t>
  </si>
  <si>
    <t>N0000000113</t>
  </si>
  <si>
    <t>N0000000114</t>
  </si>
  <si>
    <t>N0000000115</t>
  </si>
  <si>
    <t>N0000000116</t>
  </si>
  <si>
    <t>N0000000117</t>
  </si>
  <si>
    <t>N0000000118</t>
  </si>
  <si>
    <t>N0000000119</t>
  </si>
  <si>
    <t>N0000000120</t>
  </si>
  <si>
    <t>N0000000121</t>
  </si>
  <si>
    <t>N0000000122</t>
  </si>
  <si>
    <t>N0000000123</t>
  </si>
  <si>
    <t>N0000000124</t>
  </si>
  <si>
    <t>N0000000125</t>
  </si>
  <si>
    <t>N0000000126</t>
  </si>
  <si>
    <t>N0000000127</t>
  </si>
  <si>
    <t>N0000000128</t>
  </si>
  <si>
    <t>N0000000129</t>
  </si>
  <si>
    <t>N0000000130</t>
  </si>
  <si>
    <t>N0000000131</t>
  </si>
  <si>
    <t>N0000000132</t>
  </si>
  <si>
    <t>N0000000133</t>
  </si>
  <si>
    <t>N0000000134</t>
  </si>
  <si>
    <t>N0000000135</t>
  </si>
  <si>
    <t>N0000000136</t>
  </si>
  <si>
    <t>N0000000137</t>
  </si>
  <si>
    <t>N0000000138</t>
  </si>
  <si>
    <t>N0000000139</t>
  </si>
  <si>
    <t>N0000000140</t>
  </si>
  <si>
    <t>N0000000141</t>
  </si>
  <si>
    <t>N0000000142</t>
  </si>
  <si>
    <t>N0000000143</t>
  </si>
  <si>
    <t>N0000000144</t>
  </si>
  <si>
    <t>N0000000145</t>
  </si>
  <si>
    <t>N0000000146</t>
  </si>
  <si>
    <t>N0000000147</t>
  </si>
  <si>
    <t>N0000000148</t>
  </si>
  <si>
    <t>N0000000149</t>
  </si>
  <si>
    <t>N0000000150</t>
  </si>
  <si>
    <t>N0000000151</t>
  </si>
  <si>
    <t>N0000000152</t>
  </si>
  <si>
    <t>N0000000153</t>
  </si>
  <si>
    <t>N0000000154</t>
  </si>
  <si>
    <t>N0000000155</t>
  </si>
  <si>
    <t>N0000000156</t>
  </si>
  <si>
    <t>N0000000157</t>
  </si>
  <si>
    <t>N0000000158</t>
  </si>
  <si>
    <t>N0000000159</t>
  </si>
  <si>
    <t>N0000000160</t>
  </si>
  <si>
    <t>N0000000161</t>
  </si>
  <si>
    <t>N0000000162</t>
  </si>
  <si>
    <t>N0000000163</t>
  </si>
  <si>
    <t>N0000000164</t>
  </si>
  <si>
    <t>N0000000165</t>
  </si>
  <si>
    <t>N0000000166</t>
  </si>
  <si>
    <t>N0000000167</t>
  </si>
  <si>
    <t>N0000000168</t>
  </si>
  <si>
    <t>N0000000169</t>
  </si>
  <si>
    <t>N0000000170</t>
  </si>
  <si>
    <t>N0000000171</t>
  </si>
  <si>
    <t>N0000000172</t>
  </si>
  <si>
    <t>N0000000173</t>
  </si>
  <si>
    <t>N0000000174</t>
  </si>
  <si>
    <t>N0000000175</t>
  </si>
  <si>
    <t>N0000000176</t>
  </si>
  <si>
    <t>N0000000177</t>
  </si>
  <si>
    <t>N0000000178</t>
  </si>
  <si>
    <t>N0000000179</t>
  </si>
  <si>
    <t>N0000000180</t>
  </si>
  <si>
    <t>N0000000181</t>
  </si>
  <si>
    <t>N0000000182</t>
  </si>
  <si>
    <t>N0000000183</t>
  </si>
  <si>
    <t>N0000000184</t>
  </si>
  <si>
    <t>N0000000185</t>
  </si>
  <si>
    <t>N0000000186</t>
  </si>
  <si>
    <t>N0000000187</t>
  </si>
  <si>
    <t>N0000000188</t>
  </si>
  <si>
    <t>N0000000189</t>
  </si>
  <si>
    <t>N0000000190</t>
  </si>
  <si>
    <t>N0000000191</t>
  </si>
  <si>
    <t>N0000000192</t>
  </si>
  <si>
    <t>N0000000193</t>
  </si>
  <si>
    <t>N0000000194</t>
  </si>
  <si>
    <t>N0000000195</t>
  </si>
  <si>
    <t>N0000000196</t>
  </si>
  <si>
    <t>N0000000197</t>
  </si>
  <si>
    <t>N0000000198</t>
  </si>
  <si>
    <t>N0000000199</t>
  </si>
  <si>
    <t>N0000000200</t>
  </si>
  <si>
    <t>N0000000201</t>
  </si>
  <si>
    <t>N0000000202</t>
  </si>
  <si>
    <t>N0000000203</t>
  </si>
  <si>
    <t>N0000000204</t>
  </si>
  <si>
    <t>N0000000205</t>
  </si>
  <si>
    <t>N0000000206</t>
  </si>
  <si>
    <t>N0000000207</t>
  </si>
  <si>
    <t>N0000000208</t>
  </si>
  <si>
    <t>N0000000209</t>
  </si>
  <si>
    <t>N0000000210</t>
  </si>
  <si>
    <t>N0000000211</t>
  </si>
  <si>
    <t>N0000000212</t>
  </si>
  <si>
    <t>N0000000213</t>
  </si>
  <si>
    <t>N0000000214</t>
  </si>
  <si>
    <t>N0000000215</t>
  </si>
  <si>
    <t>N0000000216</t>
  </si>
  <si>
    <t>N0000000217</t>
  </si>
  <si>
    <t>N0000000218</t>
  </si>
  <si>
    <t>N0000000219</t>
  </si>
  <si>
    <t>N0000000220</t>
  </si>
  <si>
    <t>N0000000221</t>
  </si>
  <si>
    <t>N0000000222</t>
  </si>
  <si>
    <t>N0000000223</t>
  </si>
  <si>
    <t>N0000000224</t>
  </si>
  <si>
    <t>N0000000225</t>
  </si>
  <si>
    <t>N0000000226</t>
  </si>
  <si>
    <t>N0000000227</t>
  </si>
  <si>
    <t>N0000000228</t>
  </si>
  <si>
    <t>N0000000229</t>
  </si>
  <si>
    <t>N0000000230</t>
  </si>
  <si>
    <t>N0000000231</t>
  </si>
  <si>
    <t>N0000000232</t>
  </si>
  <si>
    <t>N0000000233</t>
  </si>
  <si>
    <t>N0000000234</t>
  </si>
  <si>
    <t>N0000000235</t>
  </si>
  <si>
    <t>N0000000236</t>
  </si>
  <si>
    <t>N0000000237</t>
  </si>
  <si>
    <t>N0000000238</t>
  </si>
  <si>
    <t>N0000000239</t>
  </si>
  <si>
    <t>N0000000240</t>
  </si>
  <si>
    <t>N0000000241</t>
  </si>
  <si>
    <t>N0000000242</t>
  </si>
  <si>
    <t>N0000000243</t>
  </si>
  <si>
    <t>N0000000244</t>
  </si>
  <si>
    <t>N0000000245</t>
  </si>
  <si>
    <t>N0000000246</t>
  </si>
  <si>
    <t>N0000000247</t>
  </si>
  <si>
    <t>N0000000248</t>
  </si>
  <si>
    <t>N0000000249</t>
  </si>
  <si>
    <t>N0000000250</t>
  </si>
  <si>
    <t>N0000000251</t>
  </si>
  <si>
    <t>N0000000252</t>
  </si>
  <si>
    <t>N0000000253</t>
  </si>
  <si>
    <t>N0000000254</t>
  </si>
  <si>
    <t>N0000000255</t>
  </si>
  <si>
    <t>N0000000256</t>
  </si>
  <si>
    <t>N0000000257</t>
  </si>
  <si>
    <t>N0000000258</t>
  </si>
  <si>
    <t>N0000000259</t>
  </si>
  <si>
    <t>N0000000260</t>
  </si>
  <si>
    <t>N0000000261</t>
  </si>
  <si>
    <t>N0000000262</t>
  </si>
  <si>
    <t>N0000000263</t>
  </si>
  <si>
    <t>N0000000264</t>
  </si>
  <si>
    <t>N0000000265</t>
  </si>
  <si>
    <t>N0000000266</t>
  </si>
  <si>
    <t>N0000000267</t>
  </si>
  <si>
    <t>N0000000268</t>
  </si>
  <si>
    <t>N0000000269</t>
  </si>
  <si>
    <t>N0000000270</t>
  </si>
  <si>
    <t>N0000000271</t>
  </si>
  <si>
    <t>N0000000272</t>
  </si>
  <si>
    <t>N0000000273</t>
  </si>
  <si>
    <t>N0000000274</t>
  </si>
  <si>
    <t>N0000000275</t>
  </si>
  <si>
    <t>N0000000276</t>
  </si>
  <si>
    <t>N0000000277</t>
  </si>
  <si>
    <t>N0000000278</t>
  </si>
  <si>
    <t>N0000000279</t>
  </si>
  <si>
    <t>N0000000280</t>
  </si>
  <si>
    <t>N0000000281</t>
  </si>
  <si>
    <t>N0000000282</t>
  </si>
  <si>
    <t>N0000000283</t>
  </si>
  <si>
    <t>N0000000284</t>
  </si>
  <si>
    <t>N0000000285</t>
  </si>
  <si>
    <t>N0000000286</t>
  </si>
  <si>
    <t>N0000000287</t>
  </si>
  <si>
    <t>N0000000288</t>
  </si>
  <si>
    <t>N0000000289</t>
  </si>
  <si>
    <t>N0000000290</t>
  </si>
  <si>
    <t>N0000000291</t>
  </si>
  <si>
    <t>N0000000292</t>
  </si>
  <si>
    <t>N0000000293</t>
  </si>
  <si>
    <t>N0000000294</t>
  </si>
  <si>
    <t>N0000000295</t>
  </si>
  <si>
    <t>N0000000296</t>
  </si>
  <si>
    <t>N0000000297</t>
  </si>
  <si>
    <t>N0000000298</t>
  </si>
  <si>
    <t>N0000000299</t>
  </si>
  <si>
    <t>N0000000300</t>
  </si>
  <si>
    <t>N0000000301</t>
  </si>
  <si>
    <t>N0000000302</t>
  </si>
  <si>
    <t>N0000000303</t>
  </si>
  <si>
    <t>N0000000304</t>
  </si>
  <si>
    <t>N0000000305</t>
  </si>
  <si>
    <t>N0000000306</t>
  </si>
  <si>
    <t>N0000000307</t>
  </si>
  <si>
    <t>N0000000308</t>
  </si>
  <si>
    <t>N0000000309</t>
  </si>
  <si>
    <t>N0000000310</t>
  </si>
  <si>
    <t>N0000000311</t>
  </si>
  <si>
    <t>N0000000312</t>
  </si>
  <si>
    <t>N0000000313</t>
  </si>
  <si>
    <t>N0000000314</t>
  </si>
  <si>
    <t>N0000000315</t>
  </si>
  <si>
    <t>N0000000316</t>
  </si>
  <si>
    <t>N0000000317</t>
  </si>
  <si>
    <t>N0000000318</t>
  </si>
  <si>
    <t>N0000000319</t>
  </si>
  <si>
    <t>N0000000320</t>
  </si>
  <si>
    <t>N0000000321</t>
  </si>
  <si>
    <t>N0000000322</t>
  </si>
  <si>
    <t>N0000000323</t>
  </si>
  <si>
    <t>N0000000324</t>
  </si>
  <si>
    <t>N0000000325</t>
  </si>
  <si>
    <t>N0000000326</t>
  </si>
  <si>
    <t>N0000000327</t>
  </si>
  <si>
    <t>N0000000328</t>
  </si>
  <si>
    <t>N0000000329</t>
  </si>
  <si>
    <t>N0000000330</t>
  </si>
  <si>
    <t>N0000000331</t>
  </si>
  <si>
    <t>N0000000332</t>
  </si>
  <si>
    <t>N0000000333</t>
  </si>
  <si>
    <t>N0000000334</t>
  </si>
  <si>
    <t>N0000000335</t>
  </si>
  <si>
    <t>N0000000336</t>
  </si>
  <si>
    <t>N0000000337</t>
  </si>
  <si>
    <t>N0000000338</t>
  </si>
  <si>
    <t>N0000000339</t>
  </si>
  <si>
    <t>N0000000340</t>
  </si>
  <si>
    <t>N0000000341</t>
  </si>
  <si>
    <t>N0000000342</t>
  </si>
  <si>
    <t>N0000000343</t>
  </si>
  <si>
    <t>N0000000344</t>
  </si>
  <si>
    <t>N0000000345</t>
  </si>
  <si>
    <t>N0000000346</t>
  </si>
  <si>
    <t>N0000000347</t>
  </si>
  <si>
    <t>N0000000348</t>
  </si>
  <si>
    <t>N0000000349</t>
  </si>
  <si>
    <t>N0000000350</t>
  </si>
  <si>
    <t>N0000000351</t>
  </si>
  <si>
    <t>N0000000352</t>
  </si>
  <si>
    <t>N0000000353</t>
  </si>
  <si>
    <t>N0000000354</t>
  </si>
  <si>
    <t>N0000000355</t>
  </si>
  <si>
    <t>N0000000356</t>
  </si>
  <si>
    <t>N0000000357</t>
  </si>
  <si>
    <t>N0000000358</t>
  </si>
  <si>
    <t>N0000000359</t>
  </si>
  <si>
    <t>N0000000360</t>
  </si>
  <si>
    <t>N0000000361</t>
  </si>
  <si>
    <t>N0000000362</t>
  </si>
  <si>
    <t>N0000000363</t>
  </si>
  <si>
    <t>N0000000364</t>
  </si>
  <si>
    <t>M03000001</t>
  </si>
  <si>
    <t>M03000002</t>
  </si>
  <si>
    <t>M03000003</t>
  </si>
  <si>
    <t>M03000004</t>
  </si>
  <si>
    <t>M03000005</t>
  </si>
  <si>
    <t>M03000006</t>
  </si>
  <si>
    <t>M03000007</t>
  </si>
  <si>
    <t>M03000008</t>
  </si>
  <si>
    <t>M03000009</t>
  </si>
  <si>
    <t>M03000010</t>
  </si>
  <si>
    <t>M03000011</t>
  </si>
  <si>
    <t>M03000012</t>
  </si>
  <si>
    <t>M03000013</t>
  </si>
  <si>
    <t>M03000014</t>
  </si>
  <si>
    <t>M03000015</t>
  </si>
  <si>
    <t>M03000016</t>
  </si>
  <si>
    <t>M03000017</t>
  </si>
  <si>
    <t>M03000018</t>
  </si>
  <si>
    <t>M03000019</t>
  </si>
  <si>
    <t>M03000020</t>
  </si>
  <si>
    <t>M03000021</t>
  </si>
  <si>
    <t>M03000022</t>
  </si>
  <si>
    <t>M03000023</t>
  </si>
  <si>
    <t>M03000024</t>
  </si>
  <si>
    <t>M03000025</t>
  </si>
  <si>
    <t>M03000026</t>
  </si>
  <si>
    <t>M03000027</t>
  </si>
  <si>
    <t>M03000028</t>
  </si>
  <si>
    <t>M03000029</t>
  </si>
  <si>
    <t>M03000030</t>
  </si>
  <si>
    <t>M03000031</t>
  </si>
  <si>
    <t>M03000032</t>
  </si>
  <si>
    <t>M03000033</t>
  </si>
  <si>
    <t>M03000034</t>
  </si>
  <si>
    <t>M03000035</t>
  </si>
  <si>
    <t>M03000036</t>
  </si>
  <si>
    <t>M03000037</t>
  </si>
  <si>
    <t>M03000038</t>
  </si>
  <si>
    <t>M03000039</t>
  </si>
  <si>
    <t>M03000040</t>
  </si>
  <si>
    <t>M03000041</t>
  </si>
  <si>
    <t>M03000042</t>
  </si>
  <si>
    <t>M03000043</t>
  </si>
  <si>
    <t>M03000044</t>
  </si>
  <si>
    <t>M03000045</t>
  </si>
  <si>
    <t>M03000046</t>
  </si>
  <si>
    <t>M03000047</t>
  </si>
  <si>
    <t>M03000048</t>
  </si>
  <si>
    <t>M03000049</t>
  </si>
  <si>
    <t>M03000050</t>
  </si>
  <si>
    <t>M03000051</t>
  </si>
  <si>
    <t>M03000052</t>
  </si>
  <si>
    <t>M03000053</t>
  </si>
  <si>
    <t>M03000054</t>
  </si>
  <si>
    <t>M03000055</t>
  </si>
  <si>
    <t>M03000056</t>
  </si>
  <si>
    <t>M03000057</t>
  </si>
  <si>
    <t>M03000058</t>
  </si>
  <si>
    <t>M03000059</t>
  </si>
  <si>
    <t>M03000060</t>
  </si>
  <si>
    <t>M03000061</t>
  </si>
  <si>
    <t>M03000062</t>
  </si>
  <si>
    <t>M03000063</t>
  </si>
  <si>
    <t>M03000064</t>
  </si>
  <si>
    <t>M03000065</t>
  </si>
  <si>
    <t>M03000066</t>
  </si>
  <si>
    <t>M03000067</t>
  </si>
  <si>
    <t>M03000068</t>
  </si>
  <si>
    <t>M03000069</t>
  </si>
  <si>
    <t>M03000070</t>
  </si>
  <si>
    <t>M03000071</t>
  </si>
  <si>
    <t>M03000072</t>
  </si>
  <si>
    <t>M03000073</t>
  </si>
  <si>
    <t>M03000074</t>
  </si>
  <si>
    <t>M03000075</t>
  </si>
  <si>
    <t>M03000076</t>
  </si>
  <si>
    <t>M03000077</t>
  </si>
  <si>
    <t>M03000078</t>
  </si>
  <si>
    <t>M03000079</t>
  </si>
  <si>
    <t>M03000080</t>
  </si>
  <si>
    <t>M03000081</t>
  </si>
  <si>
    <t>M03000082</t>
  </si>
  <si>
    <t>M03000083</t>
  </si>
  <si>
    <t>M03000084</t>
  </si>
  <si>
    <t>M03000085</t>
  </si>
  <si>
    <t>M03000086</t>
  </si>
  <si>
    <t>M03000087</t>
  </si>
  <si>
    <t>M03000088</t>
  </si>
  <si>
    <t>M03000089</t>
  </si>
  <si>
    <t>M03000090</t>
  </si>
  <si>
    <t>M03000091</t>
  </si>
  <si>
    <t>M03000092</t>
  </si>
  <si>
    <t>M03000093</t>
  </si>
  <si>
    <t>M03000094</t>
  </si>
  <si>
    <t>M03000095</t>
  </si>
  <si>
    <t>M03000096</t>
  </si>
  <si>
    <t>M03000097</t>
  </si>
  <si>
    <t>M03000098</t>
  </si>
  <si>
    <t>M03000099</t>
  </si>
  <si>
    <t>M03000100</t>
  </si>
  <si>
    <t>M03000101</t>
  </si>
  <si>
    <t>M03000102</t>
  </si>
  <si>
    <t>M03000103</t>
  </si>
  <si>
    <t>M03000104</t>
  </si>
  <si>
    <t>M03000105</t>
  </si>
  <si>
    <t>M03000106</t>
  </si>
  <si>
    <t>M03000107</t>
  </si>
  <si>
    <t>M03000108</t>
  </si>
  <si>
    <t>M03000109</t>
  </si>
  <si>
    <t>M03000110</t>
  </si>
  <si>
    <t>M03000111</t>
  </si>
  <si>
    <t>M03000112</t>
  </si>
  <si>
    <t>M03000113</t>
  </si>
  <si>
    <t>M03000114</t>
  </si>
  <si>
    <t>M03000115</t>
  </si>
  <si>
    <t>M03000116</t>
  </si>
  <si>
    <t>M03000117</t>
  </si>
  <si>
    <t>M03000118</t>
  </si>
  <si>
    <t>M03000119</t>
  </si>
  <si>
    <t>M03000120</t>
  </si>
  <si>
    <t>M03000121</t>
  </si>
  <si>
    <t>M03000122</t>
  </si>
  <si>
    <t>M03000123</t>
  </si>
  <si>
    <t>M03000124</t>
  </si>
  <si>
    <t>M03000125</t>
  </si>
  <si>
    <t>M03000126</t>
  </si>
  <si>
    <t>M03000127</t>
  </si>
  <si>
    <t>M03000128</t>
  </si>
  <si>
    <t>M03000129</t>
  </si>
  <si>
    <t>M03000130</t>
  </si>
  <si>
    <t>M03000131</t>
  </si>
  <si>
    <t>M03000132</t>
  </si>
  <si>
    <t>M03000133</t>
  </si>
  <si>
    <t>M03000134</t>
  </si>
  <si>
    <t>M03000135</t>
  </si>
  <si>
    <t>M03000136</t>
  </si>
  <si>
    <t>M03000137</t>
  </si>
  <si>
    <t>M03000138</t>
  </si>
  <si>
    <t>M03000139</t>
  </si>
  <si>
    <t>M03000140</t>
  </si>
  <si>
    <t>M03000141</t>
  </si>
  <si>
    <t>M03000142</t>
  </si>
  <si>
    <t>M03000143</t>
  </si>
  <si>
    <t>M03000144</t>
  </si>
  <si>
    <t>M03000145</t>
  </si>
  <si>
    <t>M03000146</t>
  </si>
  <si>
    <t>M03000147</t>
  </si>
  <si>
    <t>M03000148</t>
  </si>
  <si>
    <t>M03000149</t>
  </si>
  <si>
    <t>M03000150</t>
  </si>
  <si>
    <t>M03000151</t>
  </si>
  <si>
    <t>M03000152</t>
  </si>
  <si>
    <t>M03000153</t>
  </si>
  <si>
    <t>M03000154</t>
  </si>
  <si>
    <t>M03000155</t>
  </si>
  <si>
    <t>M03000156</t>
  </si>
  <si>
    <t>M03000157</t>
  </si>
  <si>
    <t>M03000158</t>
  </si>
  <si>
    <t>M03000159</t>
  </si>
  <si>
    <t>M03000160</t>
  </si>
  <si>
    <t>M03000161</t>
  </si>
  <si>
    <t>M03000162</t>
  </si>
  <si>
    <t>M03000163</t>
  </si>
  <si>
    <t>M03000164</t>
  </si>
  <si>
    <t>M03000165</t>
  </si>
  <si>
    <t>M03000166</t>
  </si>
  <si>
    <t>M03000167</t>
  </si>
  <si>
    <t>M03000168</t>
  </si>
  <si>
    <t>M03000169</t>
  </si>
  <si>
    <t>M03000170</t>
  </si>
  <si>
    <t>M03000171</t>
  </si>
  <si>
    <t>M03000172</t>
  </si>
  <si>
    <t>M03000173</t>
  </si>
  <si>
    <t>M03000174</t>
  </si>
  <si>
    <t>M03000175</t>
  </si>
  <si>
    <t>M03000176</t>
  </si>
  <si>
    <t>M03000177</t>
  </si>
  <si>
    <t>M03000178</t>
  </si>
  <si>
    <t>M03000179</t>
  </si>
  <si>
    <t>M03000180</t>
  </si>
  <si>
    <t>M03000181</t>
  </si>
  <si>
    <t>M03000182</t>
  </si>
  <si>
    <t>M03000183</t>
  </si>
  <si>
    <t>M03000184</t>
  </si>
  <si>
    <t>M03000185</t>
  </si>
  <si>
    <t>M03000186</t>
  </si>
  <si>
    <t>M03000187</t>
  </si>
  <si>
    <t>M03000188</t>
  </si>
  <si>
    <t>M03000189</t>
  </si>
  <si>
    <t>M03000190</t>
  </si>
  <si>
    <t>M03000191</t>
  </si>
  <si>
    <t>M03000192</t>
  </si>
  <si>
    <t>M03000193</t>
  </si>
  <si>
    <t>M03000194</t>
  </si>
  <si>
    <t>M03000195</t>
  </si>
  <si>
    <t>M03000196</t>
  </si>
  <si>
    <t>M03000197</t>
  </si>
  <si>
    <t>M03000198</t>
  </si>
  <si>
    <t>M03000199</t>
  </si>
  <si>
    <t>M03000200</t>
  </si>
  <si>
    <t>M03000201</t>
  </si>
  <si>
    <t>M03000202</t>
  </si>
  <si>
    <t>M03000203</t>
  </si>
  <si>
    <t>M03000204</t>
  </si>
  <si>
    <t>M03000205</t>
  </si>
  <si>
    <t>M03000206</t>
  </si>
  <si>
    <t>M03000207</t>
  </si>
  <si>
    <t>M03000208</t>
  </si>
  <si>
    <t>M03000209</t>
  </si>
  <si>
    <t>M03000210</t>
  </si>
  <si>
    <t>M03000211</t>
  </si>
  <si>
    <t>M03000212</t>
  </si>
  <si>
    <t>M03000213</t>
  </si>
  <si>
    <t>M03000214</t>
  </si>
  <si>
    <t>M03000215</t>
  </si>
  <si>
    <t>M03000216</t>
  </si>
  <si>
    <t>M03000217</t>
  </si>
  <si>
    <t>M03000218</t>
  </si>
  <si>
    <t>M03000219</t>
  </si>
  <si>
    <t>M03000220</t>
  </si>
  <si>
    <t>M03000221</t>
  </si>
  <si>
    <t>M03000222</t>
  </si>
  <si>
    <t>M03000223</t>
  </si>
  <si>
    <t>M03000224</t>
  </si>
  <si>
    <t>M03000225</t>
  </si>
  <si>
    <t>M03000226</t>
  </si>
  <si>
    <t>M03000227</t>
  </si>
  <si>
    <t>M03000228</t>
  </si>
  <si>
    <t>M03000229</t>
  </si>
  <si>
    <t>M03000230</t>
  </si>
  <si>
    <t>M03000231</t>
  </si>
  <si>
    <t>M03000232</t>
  </si>
  <si>
    <t>M03000233</t>
  </si>
  <si>
    <t>M03000234</t>
  </si>
  <si>
    <t>M03000235</t>
  </si>
  <si>
    <t>M03000236</t>
  </si>
  <si>
    <t>M03000237</t>
  </si>
  <si>
    <t>M03000238</t>
  </si>
  <si>
    <t>M03000239</t>
  </si>
  <si>
    <t>M03000240</t>
  </si>
  <si>
    <t>M03000241</t>
  </si>
  <si>
    <t>M03000242</t>
  </si>
  <si>
    <t>M03000243</t>
  </si>
  <si>
    <t>M03000244</t>
  </si>
  <si>
    <t>M03000245</t>
  </si>
  <si>
    <t>M03000246</t>
  </si>
  <si>
    <t>M03000247</t>
  </si>
  <si>
    <t>M03000248</t>
  </si>
  <si>
    <t>M03000249</t>
  </si>
  <si>
    <t>M03000250</t>
  </si>
  <si>
    <t>M03000251</t>
  </si>
  <si>
    <t>M03000252</t>
  </si>
  <si>
    <t>M03000253</t>
  </si>
  <si>
    <t>M03000254</t>
  </si>
  <si>
    <t>M03000255</t>
  </si>
  <si>
    <t>M03000256</t>
  </si>
  <si>
    <t>M03000257</t>
  </si>
  <si>
    <t>M03000258</t>
  </si>
  <si>
    <t>M03000259</t>
  </si>
  <si>
    <t>M03000260</t>
  </si>
  <si>
    <t>M03000261</t>
  </si>
  <si>
    <t>M03000262</t>
  </si>
  <si>
    <t>M03000263</t>
  </si>
  <si>
    <t>M03000264</t>
  </si>
  <si>
    <t>M03000265</t>
  </si>
  <si>
    <t>M03000266</t>
  </si>
  <si>
    <t>M03000267</t>
  </si>
  <si>
    <t>M03000268</t>
  </si>
  <si>
    <t>M03000269</t>
  </si>
  <si>
    <t>M03000270</t>
  </si>
  <si>
    <t>M03000271</t>
  </si>
  <si>
    <t>M03000272</t>
  </si>
  <si>
    <t>M03000273</t>
  </si>
  <si>
    <t>M03000274</t>
  </si>
  <si>
    <t>M03000275</t>
  </si>
  <si>
    <t>M03000276</t>
  </si>
  <si>
    <t>M03000277</t>
  </si>
  <si>
    <t>M03000278</t>
  </si>
  <si>
    <t>M03000279</t>
  </si>
  <si>
    <t>M03000280</t>
  </si>
  <si>
    <t>M03000281</t>
  </si>
  <si>
    <t>M03000282</t>
  </si>
  <si>
    <t>M03000283</t>
  </si>
  <si>
    <t>M03000284</t>
  </si>
  <si>
    <t>M03000285</t>
  </si>
  <si>
    <t>M03000286</t>
  </si>
  <si>
    <t>M03000287</t>
  </si>
  <si>
    <t>M03000288</t>
  </si>
  <si>
    <t>M03000289</t>
  </si>
  <si>
    <t>M03000290</t>
  </si>
  <si>
    <t>M03000291</t>
  </si>
  <si>
    <t>M03000292</t>
  </si>
  <si>
    <t>M03000293</t>
  </si>
  <si>
    <t>M03000294</t>
  </si>
  <si>
    <t>M03000295</t>
  </si>
  <si>
    <t>M03000296</t>
  </si>
  <si>
    <t>M03000297</t>
  </si>
  <si>
    <t>M03000298</t>
  </si>
  <si>
    <t>M03000299</t>
  </si>
  <si>
    <t>M03000300</t>
  </si>
  <si>
    <t>M03000301</t>
  </si>
  <si>
    <t>M03000302</t>
  </si>
  <si>
    <t>M03000303</t>
  </si>
  <si>
    <t>M03000304</t>
  </si>
  <si>
    <t>M03000305</t>
  </si>
  <si>
    <t>M03000306</t>
  </si>
  <si>
    <t>M03000307</t>
  </si>
  <si>
    <t>M03000308</t>
  </si>
  <si>
    <t>M03000309</t>
  </si>
  <si>
    <t>M03000310</t>
  </si>
  <si>
    <t>M03000311</t>
  </si>
  <si>
    <t>M03000312</t>
  </si>
  <si>
    <t>M03000313</t>
  </si>
  <si>
    <t>M03000314</t>
  </si>
  <si>
    <t>M03000315</t>
  </si>
  <si>
    <t>M03000316</t>
  </si>
  <si>
    <t>M03000317</t>
  </si>
  <si>
    <t>M03000318</t>
  </si>
  <si>
    <t>M03000319</t>
  </si>
  <si>
    <t>M03000320</t>
  </si>
  <si>
    <t>M03000321</t>
  </si>
  <si>
    <t>M03000322</t>
  </si>
  <si>
    <t>M03000323</t>
  </si>
  <si>
    <t>M03000324</t>
  </si>
  <si>
    <t>M03000325</t>
  </si>
  <si>
    <t>M03000326</t>
  </si>
  <si>
    <t>M03000327</t>
  </si>
  <si>
    <t>M03000328</t>
  </si>
  <si>
    <t>M03000329</t>
  </si>
  <si>
    <t>M03000330</t>
  </si>
  <si>
    <t>M03000331</t>
  </si>
  <si>
    <t>M03000332</t>
  </si>
  <si>
    <t>M03000333</t>
  </si>
  <si>
    <t>M03000334</t>
  </si>
  <si>
    <t>M03000335</t>
  </si>
  <si>
    <t>M03000336</t>
  </si>
  <si>
    <t>M03000337</t>
  </si>
  <si>
    <t>M03000338</t>
  </si>
  <si>
    <t>M03000339</t>
  </si>
  <si>
    <t>M03000340</t>
  </si>
  <si>
    <t>M03000341</t>
  </si>
  <si>
    <t>M03000342</t>
  </si>
  <si>
    <t>M03000343</t>
  </si>
  <si>
    <t>M03000344</t>
  </si>
  <si>
    <t>M03000345</t>
  </si>
  <si>
    <t>M03000346</t>
  </si>
  <si>
    <t>M03000347</t>
  </si>
  <si>
    <t>M03000348</t>
  </si>
  <si>
    <t>M03000349</t>
  </si>
  <si>
    <t>M03000350</t>
  </si>
  <si>
    <t>M03000351</t>
  </si>
  <si>
    <t>M03000352</t>
  </si>
  <si>
    <t>M03000353</t>
  </si>
  <si>
    <t>M03000354</t>
  </si>
  <si>
    <t>M03000355</t>
  </si>
  <si>
    <t>M03000356</t>
  </si>
  <si>
    <t>M03000357</t>
  </si>
  <si>
    <t>M03000358</t>
  </si>
  <si>
    <t>M03000359</t>
  </si>
  <si>
    <t>M03000360</t>
  </si>
  <si>
    <t>M03000361</t>
  </si>
  <si>
    <t>M03000362</t>
  </si>
  <si>
    <t>M03000363</t>
  </si>
  <si>
    <t>M03000364</t>
  </si>
  <si>
    <t>Kojo, Asante</t>
  </si>
  <si>
    <t>Kofi, Boateng</t>
  </si>
  <si>
    <t>Ali, Nayeem</t>
  </si>
  <si>
    <t>Sultana, Nusrat</t>
  </si>
  <si>
    <t>Khan, Rafi</t>
  </si>
  <si>
    <t>Kwame, Mensah</t>
  </si>
  <si>
    <t>Suresh, Gupta</t>
  </si>
  <si>
    <t>Priya, Sharma</t>
  </si>
  <si>
    <t>Anil, Patel</t>
  </si>
  <si>
    <t>Gurung, Suresh</t>
  </si>
  <si>
    <t>Hossain, Imran</t>
  </si>
  <si>
    <t>Phiri, Ruth</t>
  </si>
  <si>
    <t>Funke, Ojo</t>
  </si>
  <si>
    <t>Tunde, Balogun</t>
  </si>
  <si>
    <t>Njeri, Ann</t>
  </si>
  <si>
    <t>Anita, Patel</t>
  </si>
  <si>
    <t>Olu, Adewale</t>
  </si>
  <si>
    <t>Yetunde, Adeyemi</t>
  </si>
  <si>
    <t>Kamau, Peter</t>
  </si>
  <si>
    <t>Esi, Owusu</t>
  </si>
  <si>
    <t>Rahman, Hasan</t>
  </si>
  <si>
    <t>Amaka, Obi</t>
  </si>
  <si>
    <t>Kiptoo, Daniel</t>
  </si>
  <si>
    <t>Camila, Rocha</t>
  </si>
  <si>
    <t>Gabriel, Santos</t>
  </si>
  <si>
    <t>Ahmadi, Ladan</t>
  </si>
  <si>
    <t>Chinedu, Okafor</t>
  </si>
  <si>
    <t>Adhikari, Nisha</t>
  </si>
  <si>
    <t>Achieng, Grace</t>
  </si>
  <si>
    <t>Nguyen, Lan</t>
  </si>
  <si>
    <t>Begum, Aisha</t>
  </si>
  <si>
    <t>Raj, Kumar</t>
  </si>
  <si>
    <t>Rahman, Fatima</t>
  </si>
  <si>
    <t>Mwangi, Joseph</t>
  </si>
  <si>
    <t>Akua, Addo</t>
  </si>
  <si>
    <t>Chioma, Nwosu</t>
  </si>
  <si>
    <t>Mwangi, Grace</t>
  </si>
  <si>
    <t>Liu, Yan</t>
  </si>
  <si>
    <t>Neha, Gupta</t>
  </si>
  <si>
    <t>Divya, Singh</t>
  </si>
  <si>
    <t>Ahmed, Saad</t>
  </si>
  <si>
    <t>Wanjiru, Mary</t>
  </si>
  <si>
    <t>Afia, Mensima</t>
  </si>
  <si>
    <t>Ifeanyi, Eze</t>
  </si>
  <si>
    <t>Ngozi, Okeke</t>
  </si>
  <si>
    <t>Raza, Fahad</t>
  </si>
  <si>
    <t>Atieno, Sharon</t>
  </si>
  <si>
    <t>Ravi, Singh</t>
  </si>
  <si>
    <t>Pooja, Rani</t>
  </si>
  <si>
    <t>Carvalho, Bruno</t>
  </si>
  <si>
    <t>Thapa, Richa</t>
  </si>
  <si>
    <t>Islam, Tania</t>
  </si>
  <si>
    <t>Chebet, Mercy</t>
  </si>
  <si>
    <t>Ama, Nyarko</t>
  </si>
  <si>
    <t>Ali, Nimra</t>
  </si>
  <si>
    <t>Gan, Nomin</t>
  </si>
  <si>
    <t>Lewandowska, Marta</t>
  </si>
  <si>
    <t>Ana, Huaman</t>
  </si>
  <si>
    <t>Rahimi, Arman</t>
  </si>
  <si>
    <t>Mariana, Pereira</t>
  </si>
  <si>
    <t>Ahmed, Karim</t>
  </si>
  <si>
    <t>Delić, Selma</t>
  </si>
  <si>
    <t>Amit, Sharma</t>
  </si>
  <si>
    <t>Kwabena, Osei</t>
  </si>
  <si>
    <t>Otieno, Brian</t>
  </si>
  <si>
    <t>Adjovi, Jules</t>
  </si>
  <si>
    <t>Nyerere, John</t>
  </si>
  <si>
    <t>Ahmadi, Sina</t>
  </si>
  <si>
    <t>Mohammadi, Ali</t>
  </si>
  <si>
    <t>Shrestha, Prakash</t>
  </si>
  <si>
    <t>Alemu, Selam</t>
  </si>
  <si>
    <t>Mohammadi, Sara</t>
  </si>
  <si>
    <t>Gurung, Sita</t>
  </si>
  <si>
    <t>Tran, Huong</t>
  </si>
  <si>
    <t>Sanchez, Adrian</t>
  </si>
  <si>
    <t>Emeka, Obi</t>
  </si>
  <si>
    <t>Do, Anh</t>
  </si>
  <si>
    <t>Adwoa, Serwaa</t>
  </si>
  <si>
    <t>Ivanova, Anna</t>
  </si>
  <si>
    <t>Miguel, Lopez</t>
  </si>
  <si>
    <t>Chirwa, Kelvin</t>
  </si>
  <si>
    <t>Okello, Moses</t>
  </si>
  <si>
    <t>Şahin, Can</t>
  </si>
  <si>
    <t>Alimova, Aida</t>
  </si>
  <si>
    <t>Wang, Mei</t>
  </si>
  <si>
    <t>Bianchi, Davide</t>
  </si>
  <si>
    <t>Nguyen, Bao</t>
  </si>
  <si>
    <t>Yaw, Owusu</t>
  </si>
  <si>
    <t>Wang, Jun</t>
  </si>
  <si>
    <t>Hussain, Ali</t>
  </si>
  <si>
    <t>Akter, Farzana</t>
  </si>
  <si>
    <t>Jung, Hana</t>
  </si>
  <si>
    <t>Bojang, Ousman</t>
  </si>
  <si>
    <t>Lucia, Castro</t>
  </si>
  <si>
    <t>Rafael, Souza</t>
  </si>
  <si>
    <t>Yamamoto, Rina</t>
  </si>
  <si>
    <t>Jose, Quispe</t>
  </si>
  <si>
    <t>Putra, Andi</t>
  </si>
  <si>
    <t>Karki, Dipesh</t>
  </si>
  <si>
    <t>Shrestha, Anju</t>
  </si>
  <si>
    <t>Karimi, Neda</t>
  </si>
  <si>
    <t>Khan, Hamza</t>
  </si>
  <si>
    <t>Thapa, Manoj</t>
  </si>
  <si>
    <t>Othman, Imran</t>
  </si>
  <si>
    <t>Lee, Jiwon</t>
  </si>
  <si>
    <t>Jammeh, Mariama</t>
  </si>
  <si>
    <t>Le, Mai</t>
  </si>
  <si>
    <t>Shah, Usman</t>
  </si>
  <si>
    <t>Bold, Saruul</t>
  </si>
  <si>
    <t>Tanaka, Hiroshi</t>
  </si>
  <si>
    <t>7/28/2025 12:00:00 AM</t>
  </si>
  <si>
    <t>Row Labels</t>
  </si>
  <si>
    <t>Grand Total</t>
  </si>
  <si>
    <t>(All)</t>
  </si>
  <si>
    <t>Count of Visa Type</t>
  </si>
  <si>
    <t>Count of Program of Study</t>
  </si>
  <si>
    <t>Count of Graduate Assistantship</t>
  </si>
  <si>
    <t>(blank)</t>
  </si>
  <si>
    <t>Count of I-901 Fee</t>
  </si>
  <si>
    <t>Count of Country of Birth</t>
  </si>
  <si>
    <t>Count of Country of Citizenship</t>
  </si>
  <si>
    <t>Gender</t>
  </si>
  <si>
    <t>Count of Scholarship</t>
  </si>
  <si>
    <t>Count of Sex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</si>
</sst>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Aptos Narrow"/>
      <family val="2"/>
      <scheme val="minor"/>
    </font>
    <font>
      <sz val="11"/>
      <color rgb="FF000000"/>
      <name val="Aptos Narrow"/>
      <family val="2"/>
    </font>
    <font>
      <sz val="8"/>
      <name val="Aptos Narrow"/>
      <family val="2"/>
      <scheme val="minor"/>
    </font>
    <font>
      <b/>
      <sz val="11"/>
      <color theme="0"/>
      <name val="Aptos Narrow"/>
      <family val="2"/>
    </font>
    <font>
      <sz val="11"/>
      <name val="Aptos Narrow"/>
      <family val="2"/>
    </font>
  </fonts>
  <fills count="6">
    <fill>
      <patternFill patternType="none"/>
    </fill>
    <fill>
      <patternFill patternType="gray125"/>
    </fill>
    <fill>
      <patternFill patternType="solid">
        <fgColor rgb="FFD9D9D9"/>
        <bgColor rgb="FFD9D9D9"/>
      </patternFill>
    </fill>
    <fill>
      <patternFill patternType="solid">
        <fgColor rgb="FF5E0009"/>
        <bgColor indexed="64"/>
      </patternFill>
    </fill>
    <fill>
      <patternFill patternType="solid">
        <fgColor theme="0" tint="-4.9989318521683403E-2"/>
        <bgColor indexed="64"/>
      </patternFill>
    </fill>
    <fill>
      <patternFill patternType="solid">
        <fgColor theme="0" tint="-4.9989318521683403E-2"/>
        <bgColor rgb="FFD9D9D9"/>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auto="1"/>
      </left>
      <right style="thin">
        <color auto="1"/>
      </right>
      <top style="thin">
        <color auto="1"/>
      </top>
      <bottom/>
      <diagonal/>
    </border>
  </borders>
  <cellStyleXfs count="1">
    <xf numFmtId="0" fontId="0" fillId="0" borderId="0"/>
  </cellStyleXfs>
  <cellXfs count="16">
    <xf numFmtId="0" fontId="0" fillId="0" borderId="0" xfId="0"/>
    <xf numFmtId="0" fontId="1" fillId="2" borderId="1" xfId="0" applyFont="1" applyFill="1" applyBorder="1"/>
    <xf numFmtId="0" fontId="1" fillId="0" borderId="1" xfId="0" applyFont="1" applyBorder="1"/>
    <xf numFmtId="0" fontId="3" fillId="3" borderId="3" xfId="0" applyFont="1" applyFill="1" applyBorder="1" applyAlignment="1">
      <alignment horizontal="center"/>
    </xf>
    <xf numFmtId="0" fontId="1" fillId="0" borderId="4" xfId="0" applyFont="1" applyBorder="1"/>
    <xf numFmtId="0" fontId="0" fillId="4" borderId="2" xfId="0" applyFill="1" applyBorder="1"/>
    <xf numFmtId="0" fontId="4" fillId="5" borderId="2" xfId="0" applyFont="1" applyFill="1" applyBorder="1"/>
    <xf numFmtId="0" fontId="4" fillId="4" borderId="2" xfId="0" applyFont="1" applyFill="1" applyBorder="1"/>
    <xf numFmtId="16" fontId="4" fillId="4" borderId="2" xfId="0" applyNumberFormat="1" applyFont="1" applyFill="1" applyBorder="1"/>
    <xf numFmtId="0" fontId="3" fillId="3" borderId="5" xfId="0" applyFont="1" applyFill="1" applyBorder="1" applyAlignment="1">
      <alignment horizontal="center"/>
    </xf>
    <xf numFmtId="0" fontId="0" fillId="4" borderId="6" xfId="0" applyFill="1" applyBorder="1"/>
    <xf numFmtId="0" fontId="4" fillId="5" borderId="6" xfId="0" applyFont="1" applyFill="1" applyBorder="1"/>
    <xf numFmtId="0" fontId="4" fillId="4" borderId="6" xfId="0" applyFont="1" applyFill="1" applyBorder="1"/>
    <xf numFmtId="0" fontId="0" fillId="3" borderId="0" xfId="0" applyFill="1"/>
    <xf numFmtId="0" fontId="0" fillId="0" borderId="0" xfId="0" pivotButton="1"/>
    <xf numFmtId="0" fontId="0" fillId="0" borderId="0" xfId="0" applyAlignment="1">
      <alignment horizontal="left"/>
    </xf>
  </cellXfs>
  <cellStyles count="1">
    <cellStyle name="Normal" xfId="0" builtinId="0"/>
  </cellStyles>
  <dxfs count="3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solid">
          <fgColor indexed="64"/>
          <bgColor rgb="FF5E0009"/>
        </patternFill>
      </fill>
    </dxf>
    <dxf>
      <font>
        <b val="0"/>
        <i val="0"/>
        <strike val="0"/>
        <condense val="0"/>
        <extend val="0"/>
        <outline val="0"/>
        <shadow val="0"/>
        <u val="none"/>
        <vertAlign val="baseline"/>
        <sz val="11"/>
        <color auto="1"/>
        <name val="Aptos Narrow"/>
        <family val="2"/>
        <scheme val="none"/>
      </font>
      <fill>
        <patternFill patternType="solid">
          <fgColor indexed="64"/>
          <bgColor theme="0" tint="-4.9989318521683403E-2"/>
        </patternFill>
      </fill>
      <border diagonalUp="0" diagonalDown="0">
        <left style="thin">
          <color auto="1"/>
        </left>
        <right style="thin">
          <color auto="1"/>
        </right>
        <top style="thin">
          <color auto="1"/>
        </top>
        <bottom style="thin">
          <color auto="1"/>
        </bottom>
        <vertical/>
        <horizontal/>
      </border>
    </dxf>
    <dxf>
      <fill>
        <patternFill patternType="solid">
          <fgColor indexed="64"/>
          <bgColor theme="0" tint="-4.9989318521683403E-2"/>
        </patternFill>
      </fill>
      <border diagonalUp="0" diagonalDown="0">
        <left style="thin">
          <color auto="1"/>
        </left>
        <right style="thin">
          <color auto="1"/>
        </right>
        <top style="thin">
          <color auto="1"/>
        </top>
        <bottom style="thin">
          <color auto="1"/>
        </bottom>
        <vertical/>
        <horizontal/>
      </border>
    </dxf>
    <dxf>
      <fill>
        <patternFill patternType="solid">
          <fgColor indexed="64"/>
          <bgColor theme="0" tint="-4.9989318521683403E-2"/>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ptos Narrow"/>
        <family val="2"/>
        <scheme val="none"/>
      </font>
      <fill>
        <patternFill patternType="solid">
          <fgColor indexed="64"/>
          <bgColor theme="0" tint="-4.9989318521683403E-2"/>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ptos Narrow"/>
        <family val="2"/>
        <scheme val="none"/>
      </font>
      <fill>
        <patternFill patternType="solid">
          <fgColor indexed="64"/>
          <bgColor theme="0" tint="-4.9989318521683403E-2"/>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ptos Narrow"/>
        <family val="2"/>
        <scheme val="none"/>
      </font>
      <fill>
        <patternFill patternType="solid">
          <fgColor indexed="64"/>
          <bgColor theme="0" tint="-4.9989318521683403E-2"/>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ptos Narrow"/>
        <family val="2"/>
        <scheme val="none"/>
      </font>
      <fill>
        <patternFill patternType="solid">
          <fgColor indexed="64"/>
          <bgColor theme="0" tint="-4.9989318521683403E-2"/>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ptos Narrow"/>
        <family val="2"/>
        <scheme val="none"/>
      </font>
      <fill>
        <patternFill patternType="solid">
          <fgColor indexed="64"/>
          <bgColor theme="0" tint="-4.9989318521683403E-2"/>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ptos Narrow"/>
        <family val="2"/>
        <scheme val="none"/>
      </font>
      <fill>
        <patternFill patternType="solid">
          <fgColor indexed="64"/>
          <bgColor theme="0" tint="-4.9989318521683403E-2"/>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ptos Narrow"/>
        <family val="2"/>
        <scheme val="none"/>
      </font>
      <fill>
        <patternFill patternType="solid">
          <fgColor indexed="64"/>
          <bgColor theme="0" tint="-4.9989318521683403E-2"/>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ptos Narrow"/>
        <family val="2"/>
        <scheme val="none"/>
      </font>
      <fill>
        <patternFill patternType="solid">
          <fgColor indexed="64"/>
          <bgColor theme="0" tint="-4.9989318521683403E-2"/>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ptos Narrow"/>
        <family val="2"/>
        <scheme val="none"/>
      </font>
      <fill>
        <patternFill patternType="solid">
          <fgColor indexed="64"/>
          <bgColor theme="0" tint="-4.9989318521683403E-2"/>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ptos Narrow"/>
        <family val="2"/>
        <scheme val="none"/>
      </font>
      <fill>
        <patternFill patternType="solid">
          <fgColor rgb="FFD9D9D9"/>
          <bgColor theme="0" tint="-4.9989318521683403E-2"/>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ptos Narrow"/>
        <family val="2"/>
        <scheme val="none"/>
      </font>
      <fill>
        <patternFill patternType="solid">
          <fgColor rgb="FFD9D9D9"/>
          <bgColor theme="0" tint="-4.9989318521683403E-2"/>
        </patternFill>
      </fill>
      <border diagonalUp="0" diagonalDown="0">
        <left style="thin">
          <color auto="1"/>
        </left>
        <right style="thin">
          <color auto="1"/>
        </right>
        <top style="thin">
          <color auto="1"/>
        </top>
        <bottom style="thin">
          <color auto="1"/>
        </bottom>
        <vertical/>
        <horizontal/>
      </border>
    </dxf>
    <dxf>
      <fill>
        <patternFill patternType="solid">
          <fgColor indexed="64"/>
          <bgColor theme="0" tint="-4.9989318521683403E-2"/>
        </patternFill>
      </fill>
      <border diagonalUp="0" diagonalDown="0">
        <left style="thin">
          <color auto="1"/>
        </left>
        <right style="thin">
          <color auto="1"/>
        </right>
        <top style="thin">
          <color auto="1"/>
        </top>
        <bottom style="thin">
          <color auto="1"/>
        </bottom>
        <vertical/>
        <horizontal/>
      </border>
    </dxf>
    <dxf>
      <border outline="0">
        <top style="thin">
          <color rgb="FF000000"/>
        </top>
        <bottom style="thin">
          <color auto="1"/>
        </bottom>
      </border>
    </dxf>
    <dxf>
      <font>
        <b val="0"/>
        <i val="0"/>
        <strike val="0"/>
        <condense val="0"/>
        <extend val="0"/>
        <outline val="0"/>
        <shadow val="0"/>
        <u val="none"/>
        <vertAlign val="baseline"/>
        <sz val="11"/>
        <color auto="1"/>
        <name val="Aptos Narrow"/>
        <family val="2"/>
        <scheme val="none"/>
      </font>
      <fill>
        <patternFill patternType="solid">
          <fgColor indexed="64"/>
          <bgColor theme="0" tint="-4.9989318521683403E-2"/>
        </patternFill>
      </fill>
    </dxf>
    <dxf>
      <font>
        <b/>
        <i val="0"/>
        <strike val="0"/>
        <condense val="0"/>
        <extend val="0"/>
        <outline val="0"/>
        <shadow val="0"/>
        <u val="none"/>
        <vertAlign val="baseline"/>
        <sz val="11"/>
        <color theme="0"/>
        <name val="Aptos Narrow"/>
        <family val="2"/>
        <scheme val="none"/>
      </font>
      <fill>
        <patternFill patternType="solid">
          <fgColor indexed="64"/>
          <bgColor rgb="FF5E0009"/>
        </patternFill>
      </fill>
      <alignment horizontal="center" vertical="bottom" textRotation="0" wrapText="0" indent="0" justifyLastLine="0" shrinkToFit="0" readingOrder="0"/>
      <border diagonalUp="0" diagonalDown="0" outline="0">
        <left style="thin">
          <color rgb="FF000000"/>
        </left>
        <right style="thin">
          <color rgb="FF000000"/>
        </right>
        <top/>
        <bottom/>
      </border>
    </dxf>
    <dxf>
      <font>
        <b/>
        <color theme="1"/>
      </font>
      <border>
        <bottom style="thin">
          <color theme="7"/>
        </bottom>
        <vertical/>
        <horizontal/>
      </border>
    </dxf>
    <dxf>
      <font>
        <color theme="1"/>
      </font>
      <fill>
        <patternFill>
          <bgColor rgb="FF5E0009"/>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b/>
        <color theme="1"/>
      </font>
      <border>
        <bottom style="thin">
          <color theme="7"/>
        </bottom>
        <vertical/>
        <horizontal/>
      </border>
    </dxf>
    <dxf>
      <font>
        <color theme="1"/>
      </font>
      <fill>
        <patternFill>
          <bgColor rgb="FFC00000"/>
        </patternFill>
      </fill>
      <border>
        <left style="thin">
          <color theme="7"/>
        </left>
        <right style="thin">
          <color theme="7"/>
        </right>
        <top style="thin">
          <color theme="7"/>
        </top>
        <bottom style="thin">
          <color theme="7"/>
        </bottom>
        <vertical/>
        <horizontal/>
      </border>
    </dxf>
  </dxfs>
  <tableStyles count="2" defaultTableStyle="TableStyleMedium2" defaultPivotStyle="PivotStyleLight16">
    <tableStyle name="FA_2025" pivot="0" table="0" count="10" xr9:uid="{90C3EA2E-2ADF-43F1-8971-21EF5E385F66}">
      <tableStyleElement type="wholeTable" dxfId="37"/>
      <tableStyleElement type="headerRow" dxfId="36"/>
    </tableStyle>
    <tableStyle name="FA_2025_1" pivot="0" table="0" count="10" xr9:uid="{B557024A-F099-4533-8732-FFF0E871A8AD}">
      <tableStyleElement type="wholeTable" dxfId="35"/>
      <tableStyleElement type="headerRow" dxfId="34"/>
    </tableStyle>
  </tableStyles>
  <colors>
    <mruColors>
      <color rgb="FF5E0009"/>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FA_2025">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FA_2025_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onnections" Target="connection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[International_Student_FA25_Shuffled_1.xlsx]Design!PivotTable4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Design!$B$14</c:f>
              <c:strCache>
                <c:ptCount val="1"/>
                <c:pt idx="0">
                  <c:v>Total</c:v>
                </c:pt>
              </c:strCache>
            </c:strRef>
          </c:tx>
          <c:spPr>
            <a:solidFill>
              <a:schemeClr val="accent1"/>
            </a:solidFill>
            <a:ln>
              <a:noFill/>
            </a:ln>
            <a:effectLst/>
          </c:spPr>
          <c:invertIfNegative val="0"/>
          <c:cat>
            <c:strRef>
              <c:f>Design!$A$15:$A$48</c:f>
              <c:strCache>
                <c:ptCount val="33"/>
                <c:pt idx="0">
                  <c:v>Edu Admin/Elementary-MSED</c:v>
                </c:pt>
                <c:pt idx="1">
                  <c:v>Audiology-AUD</c:v>
                </c:pt>
                <c:pt idx="2">
                  <c:v>Natural &amp; Applied Sci-CS-MNAS</c:v>
                </c:pt>
                <c:pt idx="3">
                  <c:v>Business Admin-STEM-MBA</c:v>
                </c:pt>
                <c:pt idx="4">
                  <c:v>Plant Science-EP Dept-MS</c:v>
                </c:pt>
                <c:pt idx="5">
                  <c:v>Secondery Ed/English-MSED</c:v>
                </c:pt>
                <c:pt idx="6">
                  <c:v>Project Managemnt-Accelrted-MS</c:v>
                </c:pt>
                <c:pt idx="7">
                  <c:v>Special Ed/Autism Spectrm-MSED</c:v>
                </c:pt>
                <c:pt idx="8">
                  <c:v>Psychology/Industrial Org-MS</c:v>
                </c:pt>
                <c:pt idx="9">
                  <c:v>Dramatic Writing-MFA</c:v>
                </c:pt>
                <c:pt idx="10">
                  <c:v>Biology-MS</c:v>
                </c:pt>
                <c:pt idx="11">
                  <c:v>Health Promo &amp; Wellness Mgt-MS</c:v>
                </c:pt>
                <c:pt idx="12">
                  <c:v>Agriculture-MS</c:v>
                </c:pt>
                <c:pt idx="13">
                  <c:v>Visual Studies-MFA</c:v>
                </c:pt>
                <c:pt idx="14">
                  <c:v>Gry and Glg/Geospatial-MS</c:v>
                </c:pt>
                <c:pt idx="15">
                  <c:v>English-MA</c:v>
                </c:pt>
                <c:pt idx="16">
                  <c:v>Professional Studies-MPS</c:v>
                </c:pt>
                <c:pt idx="17">
                  <c:v>Counseling/Clin Mental Hlth-MS</c:v>
                </c:pt>
                <c:pt idx="18">
                  <c:v>Appld Secnd Lang Acquisn-MASLA</c:v>
                </c:pt>
                <c:pt idx="19">
                  <c:v>Music, Master of-MM</c:v>
                </c:pt>
                <c:pt idx="20">
                  <c:v>Kinesiology-MS</c:v>
                </c:pt>
                <c:pt idx="21">
                  <c:v>Mathematics-MS</c:v>
                </c:pt>
                <c:pt idx="22">
                  <c:v>Materials Science-MS</c:v>
                </c:pt>
                <c:pt idx="23">
                  <c:v>Communication-MA</c:v>
                </c:pt>
                <c:pt idx="24">
                  <c:v>Chemistry-MS</c:v>
                </c:pt>
                <c:pt idx="25">
                  <c:v>Information Technology-MS</c:v>
                </c:pt>
                <c:pt idx="26">
                  <c:v>International Affairs-MIA</c:v>
                </c:pt>
                <c:pt idx="27">
                  <c:v>Accountancy-MACC</c:v>
                </c:pt>
                <c:pt idx="28">
                  <c:v>Educational Technology-MSED</c:v>
                </c:pt>
                <c:pt idx="29">
                  <c:v>Public Health-MPH</c:v>
                </c:pt>
                <c:pt idx="30">
                  <c:v>Project Management-MS</c:v>
                </c:pt>
                <c:pt idx="31">
                  <c:v>Computer Science-MS</c:v>
                </c:pt>
                <c:pt idx="32">
                  <c:v>Business Admin-MBA</c:v>
                </c:pt>
              </c:strCache>
            </c:strRef>
          </c:cat>
          <c:val>
            <c:numRef>
              <c:f>Design!$B$15:$B$48</c:f>
              <c:numCache>
                <c:formatCode>General</c:formatCode>
                <c:ptCount val="33"/>
                <c:pt idx="0">
                  <c:v>1</c:v>
                </c:pt>
                <c:pt idx="1">
                  <c:v>1</c:v>
                </c:pt>
                <c:pt idx="2">
                  <c:v>1</c:v>
                </c:pt>
                <c:pt idx="3">
                  <c:v>1</c:v>
                </c:pt>
                <c:pt idx="4">
                  <c:v>1</c:v>
                </c:pt>
                <c:pt idx="5">
                  <c:v>1</c:v>
                </c:pt>
                <c:pt idx="6">
                  <c:v>1</c:v>
                </c:pt>
                <c:pt idx="7">
                  <c:v>2</c:v>
                </c:pt>
                <c:pt idx="8">
                  <c:v>2</c:v>
                </c:pt>
                <c:pt idx="9">
                  <c:v>2</c:v>
                </c:pt>
                <c:pt idx="10">
                  <c:v>2</c:v>
                </c:pt>
                <c:pt idx="11">
                  <c:v>3</c:v>
                </c:pt>
                <c:pt idx="12">
                  <c:v>3</c:v>
                </c:pt>
                <c:pt idx="13">
                  <c:v>3</c:v>
                </c:pt>
                <c:pt idx="14">
                  <c:v>3</c:v>
                </c:pt>
                <c:pt idx="15">
                  <c:v>3</c:v>
                </c:pt>
                <c:pt idx="16">
                  <c:v>4</c:v>
                </c:pt>
                <c:pt idx="17">
                  <c:v>4</c:v>
                </c:pt>
                <c:pt idx="18">
                  <c:v>4</c:v>
                </c:pt>
                <c:pt idx="19">
                  <c:v>5</c:v>
                </c:pt>
                <c:pt idx="20">
                  <c:v>6</c:v>
                </c:pt>
                <c:pt idx="21">
                  <c:v>6</c:v>
                </c:pt>
                <c:pt idx="22">
                  <c:v>6</c:v>
                </c:pt>
                <c:pt idx="23">
                  <c:v>7</c:v>
                </c:pt>
                <c:pt idx="24">
                  <c:v>8</c:v>
                </c:pt>
                <c:pt idx="25">
                  <c:v>9</c:v>
                </c:pt>
                <c:pt idx="26">
                  <c:v>10</c:v>
                </c:pt>
                <c:pt idx="27">
                  <c:v>14</c:v>
                </c:pt>
                <c:pt idx="28">
                  <c:v>16</c:v>
                </c:pt>
                <c:pt idx="29">
                  <c:v>24</c:v>
                </c:pt>
                <c:pt idx="30">
                  <c:v>54</c:v>
                </c:pt>
                <c:pt idx="31">
                  <c:v>68</c:v>
                </c:pt>
                <c:pt idx="32">
                  <c:v>89</c:v>
                </c:pt>
              </c:numCache>
            </c:numRef>
          </c:val>
          <c:extLst>
            <c:ext xmlns:c16="http://schemas.microsoft.com/office/drawing/2014/chart" uri="{C3380CC4-5D6E-409C-BE32-E72D297353CC}">
              <c16:uniqueId val="{00000000-D835-4E62-BFCA-2A7F4DA24459}"/>
            </c:ext>
          </c:extLst>
        </c:ser>
        <c:dLbls>
          <c:showLegendKey val="0"/>
          <c:showVal val="0"/>
          <c:showCatName val="0"/>
          <c:showSerName val="0"/>
          <c:showPercent val="0"/>
          <c:showBubbleSize val="0"/>
        </c:dLbls>
        <c:gapWidth val="182"/>
        <c:axId val="1260291135"/>
        <c:axId val="1260289695"/>
      </c:barChart>
      <c:catAx>
        <c:axId val="1260291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289695"/>
        <c:crosses val="autoZero"/>
        <c:auto val="1"/>
        <c:lblAlgn val="ctr"/>
        <c:lblOffset val="100"/>
        <c:noMultiLvlLbl val="0"/>
      </c:catAx>
      <c:valAx>
        <c:axId val="12602896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291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[International_Student_FA25_Shuffled_1.xlsx]Design!PivotTable13</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Design!$H$5</c:f>
              <c:strCache>
                <c:ptCount val="1"/>
                <c:pt idx="0">
                  <c:v>Total</c:v>
                </c:pt>
              </c:strCache>
            </c:strRef>
          </c:tx>
          <c:spPr>
            <a:solidFill>
              <a:schemeClr val="accent1"/>
            </a:solidFill>
            <a:ln>
              <a:noFill/>
            </a:ln>
            <a:effectLst/>
          </c:spPr>
          <c:invertIfNegative val="0"/>
          <c:cat>
            <c:strRef>
              <c:f>Design!$G$6:$G$39</c:f>
              <c:strCache>
                <c:ptCount val="33"/>
                <c:pt idx="0">
                  <c:v>Malaysia</c:v>
                </c:pt>
                <c:pt idx="1">
                  <c:v>Malawi</c:v>
                </c:pt>
                <c:pt idx="2">
                  <c:v>Benin</c:v>
                </c:pt>
                <c:pt idx="3">
                  <c:v>Bosnia and Herzegovina</c:v>
                </c:pt>
                <c:pt idx="4">
                  <c:v>Mexico</c:v>
                </c:pt>
                <c:pt idx="5">
                  <c:v>Ethiopia</c:v>
                </c:pt>
                <c:pt idx="6">
                  <c:v>Turkey</c:v>
                </c:pt>
                <c:pt idx="7">
                  <c:v>Uganda</c:v>
                </c:pt>
                <c:pt idx="8">
                  <c:v>Italy</c:v>
                </c:pt>
                <c:pt idx="9">
                  <c:v>Poland</c:v>
                </c:pt>
                <c:pt idx="10">
                  <c:v>Zambia</c:v>
                </c:pt>
                <c:pt idx="11">
                  <c:v>Portugal</c:v>
                </c:pt>
                <c:pt idx="12">
                  <c:v>Kazakhstan</c:v>
                </c:pt>
                <c:pt idx="13">
                  <c:v>Russia</c:v>
                </c:pt>
                <c:pt idx="14">
                  <c:v>Indonesia</c:v>
                </c:pt>
                <c:pt idx="15">
                  <c:v>Spain</c:v>
                </c:pt>
                <c:pt idx="16">
                  <c:v>Mongolia</c:v>
                </c:pt>
                <c:pt idx="17">
                  <c:v>Gambia, The</c:v>
                </c:pt>
                <c:pt idx="18">
                  <c:v>Tanzania</c:v>
                </c:pt>
                <c:pt idx="19">
                  <c:v>South Korea</c:v>
                </c:pt>
                <c:pt idx="20">
                  <c:v>Peru</c:v>
                </c:pt>
                <c:pt idx="21">
                  <c:v>Japan</c:v>
                </c:pt>
                <c:pt idx="22">
                  <c:v>China</c:v>
                </c:pt>
                <c:pt idx="23">
                  <c:v>Brazil</c:v>
                </c:pt>
                <c:pt idx="24">
                  <c:v>Vietnam</c:v>
                </c:pt>
                <c:pt idx="25">
                  <c:v>Pakistan</c:v>
                </c:pt>
                <c:pt idx="26">
                  <c:v>Iran</c:v>
                </c:pt>
                <c:pt idx="27">
                  <c:v>Nepal</c:v>
                </c:pt>
                <c:pt idx="28">
                  <c:v>Ghana</c:v>
                </c:pt>
                <c:pt idx="29">
                  <c:v>India</c:v>
                </c:pt>
                <c:pt idx="30">
                  <c:v>Kenya</c:v>
                </c:pt>
                <c:pt idx="31">
                  <c:v>Bangladesh</c:v>
                </c:pt>
                <c:pt idx="32">
                  <c:v>Nigeria</c:v>
                </c:pt>
              </c:strCache>
            </c:strRef>
          </c:cat>
          <c:val>
            <c:numRef>
              <c:f>Design!$H$6:$H$39</c:f>
              <c:numCache>
                <c:formatCode>General</c:formatCode>
                <c:ptCount val="33"/>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2</c:v>
                </c:pt>
                <c:pt idx="17">
                  <c:v>2</c:v>
                </c:pt>
                <c:pt idx="18">
                  <c:v>2</c:v>
                </c:pt>
                <c:pt idx="19">
                  <c:v>2</c:v>
                </c:pt>
                <c:pt idx="20">
                  <c:v>3</c:v>
                </c:pt>
                <c:pt idx="21">
                  <c:v>3</c:v>
                </c:pt>
                <c:pt idx="22">
                  <c:v>4</c:v>
                </c:pt>
                <c:pt idx="23">
                  <c:v>4</c:v>
                </c:pt>
                <c:pt idx="24">
                  <c:v>5</c:v>
                </c:pt>
                <c:pt idx="25">
                  <c:v>10</c:v>
                </c:pt>
                <c:pt idx="26">
                  <c:v>12</c:v>
                </c:pt>
                <c:pt idx="27">
                  <c:v>20</c:v>
                </c:pt>
                <c:pt idx="28">
                  <c:v>34</c:v>
                </c:pt>
                <c:pt idx="29">
                  <c:v>55</c:v>
                </c:pt>
                <c:pt idx="30">
                  <c:v>57</c:v>
                </c:pt>
                <c:pt idx="31">
                  <c:v>58</c:v>
                </c:pt>
                <c:pt idx="32">
                  <c:v>75</c:v>
                </c:pt>
              </c:numCache>
            </c:numRef>
          </c:val>
          <c:extLst>
            <c:ext xmlns:c16="http://schemas.microsoft.com/office/drawing/2014/chart" uri="{C3380CC4-5D6E-409C-BE32-E72D297353CC}">
              <c16:uniqueId val="{00000000-BD37-4297-8567-C319977B11D8}"/>
            </c:ext>
          </c:extLst>
        </c:ser>
        <c:dLbls>
          <c:showLegendKey val="0"/>
          <c:showVal val="0"/>
          <c:showCatName val="0"/>
          <c:showSerName val="0"/>
          <c:showPercent val="0"/>
          <c:showBubbleSize val="0"/>
        </c:dLbls>
        <c:gapWidth val="182"/>
        <c:axId val="1425598239"/>
        <c:axId val="1425600159"/>
      </c:barChart>
      <c:catAx>
        <c:axId val="1425598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600159"/>
        <c:crosses val="autoZero"/>
        <c:auto val="1"/>
        <c:lblAlgn val="ctr"/>
        <c:lblOffset val="100"/>
        <c:noMultiLvlLbl val="0"/>
      </c:catAx>
      <c:valAx>
        <c:axId val="14256001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598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[International_Student_FA25_Shuffled_1.xlsx]Design!PivotTable2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Design!$B$3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F6-4D11-B05E-ABE9856B691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F6-4D11-B05E-ABE9856B6911}"/>
              </c:ext>
            </c:extLst>
          </c:dPt>
          <c:cat>
            <c:strRef>
              <c:f>Design!$A$4:$A$6</c:f>
              <c:strCache>
                <c:ptCount val="2"/>
                <c:pt idx="0">
                  <c:v>Female</c:v>
                </c:pt>
                <c:pt idx="1">
                  <c:v>Male</c:v>
                </c:pt>
              </c:strCache>
            </c:strRef>
          </c:cat>
          <c:val>
            <c:numRef>
              <c:f>Design!$B$4:$B$6</c:f>
              <c:numCache>
                <c:formatCode>General</c:formatCode>
                <c:ptCount val="2"/>
                <c:pt idx="0">
                  <c:v>189</c:v>
                </c:pt>
                <c:pt idx="1">
                  <c:v>175</c:v>
                </c:pt>
              </c:numCache>
            </c:numRef>
          </c:val>
          <c:extLst>
            <c:ext xmlns:c16="http://schemas.microsoft.com/office/drawing/2014/chart" uri="{C3380CC4-5D6E-409C-BE32-E72D297353CC}">
              <c16:uniqueId val="{00000000-C57C-4FEA-9D4D-5CB772FF52A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[International_Student_FA25_Shuffled_1.xlsx]Design!PivotTable1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Design!$O$5</c:f>
              <c:strCache>
                <c:ptCount val="1"/>
                <c:pt idx="0">
                  <c:v>Total</c:v>
                </c:pt>
              </c:strCache>
            </c:strRef>
          </c:tx>
          <c:spPr>
            <a:solidFill>
              <a:schemeClr val="accent1"/>
            </a:solidFill>
            <a:ln>
              <a:noFill/>
            </a:ln>
            <a:effectLst/>
          </c:spPr>
          <c:invertIfNegative val="0"/>
          <c:cat>
            <c:strRef>
              <c:f>Design!$N$6:$N$10</c:f>
              <c:strCache>
                <c:ptCount val="4"/>
                <c:pt idx="0">
                  <c:v>IPFW</c:v>
                </c:pt>
                <c:pt idx="1">
                  <c:v>MOGO</c:v>
                </c:pt>
                <c:pt idx="2">
                  <c:v>No</c:v>
                </c:pt>
                <c:pt idx="3">
                  <c:v>(blank)</c:v>
                </c:pt>
              </c:strCache>
            </c:strRef>
          </c:cat>
          <c:val>
            <c:numRef>
              <c:f>Design!$O$6:$O$10</c:f>
              <c:numCache>
                <c:formatCode>General</c:formatCode>
                <c:ptCount val="4"/>
                <c:pt idx="0">
                  <c:v>12</c:v>
                </c:pt>
                <c:pt idx="1">
                  <c:v>68</c:v>
                </c:pt>
                <c:pt idx="2">
                  <c:v>284</c:v>
                </c:pt>
              </c:numCache>
            </c:numRef>
          </c:val>
          <c:extLst>
            <c:ext xmlns:c16="http://schemas.microsoft.com/office/drawing/2014/chart" uri="{C3380CC4-5D6E-409C-BE32-E72D297353CC}">
              <c16:uniqueId val="{00000000-9AA4-41BA-8EF8-80A67A2AFA59}"/>
            </c:ext>
          </c:extLst>
        </c:ser>
        <c:dLbls>
          <c:showLegendKey val="0"/>
          <c:showVal val="0"/>
          <c:showCatName val="0"/>
          <c:showSerName val="0"/>
          <c:showPercent val="0"/>
          <c:showBubbleSize val="0"/>
        </c:dLbls>
        <c:gapWidth val="219"/>
        <c:overlap val="-27"/>
        <c:axId val="1425622719"/>
        <c:axId val="1425630399"/>
      </c:barChart>
      <c:catAx>
        <c:axId val="1425622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630399"/>
        <c:crosses val="autoZero"/>
        <c:auto val="1"/>
        <c:lblAlgn val="ctr"/>
        <c:lblOffset val="100"/>
        <c:noMultiLvlLbl val="0"/>
      </c:catAx>
      <c:valAx>
        <c:axId val="1425630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62271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[International_Student_FA25_Shuffled_1.xlsx]Design!PivotTable4</c:name>
    <c:fmtId val="5"/>
  </c:pivotSource>
  <c:chart>
    <c:title>
      <c:tx>
        <c:rich>
          <a:bodyPr/>
          <a:lstStyle/>
          <a:p>
            <a:pPr algn="l">
              <a:defRPr sz="1400"/>
            </a:pPr>
            <a:r>
              <a:rPr lang="en-US" sz="1400"/>
              <a:t>Program</a:t>
            </a:r>
          </a:p>
        </c:rich>
      </c:tx>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5E0009"/>
          </a:solidFill>
          <a:ln>
            <a:noFill/>
          </a:ln>
          <a:effectLst/>
        </c:spPr>
        <c:marker>
          <c:symbol val="none"/>
        </c:marker>
        <c:dLbl>
          <c:idx val="0"/>
          <c:spPr>
            <a:noFill/>
            <a:ln>
              <a:noFill/>
            </a:ln>
            <a:effectLst/>
          </c:spPr>
          <c:txPr>
            <a:bodyPr wrap="square" lIns="38100" tIns="19050" rIns="38100" bIns="19050" anchor="ctr">
              <a:spAutoFit/>
            </a:bodyPr>
            <a:lstStyle/>
            <a:p>
              <a:pPr>
                <a:defRPr b="1">
                  <a:solidFill>
                    <a:schemeClr val="tx1"/>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pivotFmt>
    </c:pivotFmts>
    <c:plotArea>
      <c:layout/>
      <c:barChart>
        <c:barDir val="bar"/>
        <c:grouping val="clustered"/>
        <c:varyColors val="0"/>
        <c:ser>
          <c:idx val="0"/>
          <c:order val="0"/>
          <c:tx>
            <c:strRef>
              <c:f>Design!$B$14</c:f>
              <c:strCache>
                <c:ptCount val="1"/>
                <c:pt idx="0">
                  <c:v>Total</c:v>
                </c:pt>
              </c:strCache>
            </c:strRef>
          </c:tx>
          <c:spPr>
            <a:solidFill>
              <a:srgbClr val="5E0009"/>
            </a:solidFill>
            <a:ln>
              <a:noFill/>
            </a:ln>
            <a:effectLst/>
          </c:spPr>
          <c:invertIfNegative val="0"/>
          <c:dLbls>
            <c:spPr>
              <a:noFill/>
              <a:ln>
                <a:noFill/>
              </a:ln>
              <a:effectLst/>
            </c:spPr>
            <c:txPr>
              <a:bodyPr wrap="square" lIns="38100" tIns="19050" rIns="38100" bIns="19050" anchor="ctr">
                <a:spAutoFit/>
              </a:bodyPr>
              <a:lstStyle/>
              <a:p>
                <a:pPr>
                  <a:defRPr b="1">
                    <a:solidFill>
                      <a:schemeClr val="tx1"/>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Design!$A$15:$A$48</c:f>
              <c:strCache>
                <c:ptCount val="33"/>
                <c:pt idx="0">
                  <c:v>Edu Admin/Elementary-MSED</c:v>
                </c:pt>
                <c:pt idx="1">
                  <c:v>Audiology-AUD</c:v>
                </c:pt>
                <c:pt idx="2">
                  <c:v>Natural &amp; Applied Sci-CS-MNAS</c:v>
                </c:pt>
                <c:pt idx="3">
                  <c:v>Business Admin-STEM-MBA</c:v>
                </c:pt>
                <c:pt idx="4">
                  <c:v>Plant Science-EP Dept-MS</c:v>
                </c:pt>
                <c:pt idx="5">
                  <c:v>Secondery Ed/English-MSED</c:v>
                </c:pt>
                <c:pt idx="6">
                  <c:v>Project Managemnt-Accelrted-MS</c:v>
                </c:pt>
                <c:pt idx="7">
                  <c:v>Special Ed/Autism Spectrm-MSED</c:v>
                </c:pt>
                <c:pt idx="8">
                  <c:v>Psychology/Industrial Org-MS</c:v>
                </c:pt>
                <c:pt idx="9">
                  <c:v>Dramatic Writing-MFA</c:v>
                </c:pt>
                <c:pt idx="10">
                  <c:v>Biology-MS</c:v>
                </c:pt>
                <c:pt idx="11">
                  <c:v>Health Promo &amp; Wellness Mgt-MS</c:v>
                </c:pt>
                <c:pt idx="12">
                  <c:v>Agriculture-MS</c:v>
                </c:pt>
                <c:pt idx="13">
                  <c:v>Visual Studies-MFA</c:v>
                </c:pt>
                <c:pt idx="14">
                  <c:v>Gry and Glg/Geospatial-MS</c:v>
                </c:pt>
                <c:pt idx="15">
                  <c:v>English-MA</c:v>
                </c:pt>
                <c:pt idx="16">
                  <c:v>Professional Studies-MPS</c:v>
                </c:pt>
                <c:pt idx="17">
                  <c:v>Counseling/Clin Mental Hlth-MS</c:v>
                </c:pt>
                <c:pt idx="18">
                  <c:v>Appld Secnd Lang Acquisn-MASLA</c:v>
                </c:pt>
                <c:pt idx="19">
                  <c:v>Music, Master of-MM</c:v>
                </c:pt>
                <c:pt idx="20">
                  <c:v>Kinesiology-MS</c:v>
                </c:pt>
                <c:pt idx="21">
                  <c:v>Mathematics-MS</c:v>
                </c:pt>
                <c:pt idx="22">
                  <c:v>Materials Science-MS</c:v>
                </c:pt>
                <c:pt idx="23">
                  <c:v>Communication-MA</c:v>
                </c:pt>
                <c:pt idx="24">
                  <c:v>Chemistry-MS</c:v>
                </c:pt>
                <c:pt idx="25">
                  <c:v>Information Technology-MS</c:v>
                </c:pt>
                <c:pt idx="26">
                  <c:v>International Affairs-MIA</c:v>
                </c:pt>
                <c:pt idx="27">
                  <c:v>Accountancy-MACC</c:v>
                </c:pt>
                <c:pt idx="28">
                  <c:v>Educational Technology-MSED</c:v>
                </c:pt>
                <c:pt idx="29">
                  <c:v>Public Health-MPH</c:v>
                </c:pt>
                <c:pt idx="30">
                  <c:v>Project Management-MS</c:v>
                </c:pt>
                <c:pt idx="31">
                  <c:v>Computer Science-MS</c:v>
                </c:pt>
                <c:pt idx="32">
                  <c:v>Business Admin-MBA</c:v>
                </c:pt>
              </c:strCache>
            </c:strRef>
          </c:cat>
          <c:val>
            <c:numRef>
              <c:f>Design!$B$15:$B$48</c:f>
              <c:numCache>
                <c:formatCode>General</c:formatCode>
                <c:ptCount val="33"/>
                <c:pt idx="0">
                  <c:v>1</c:v>
                </c:pt>
                <c:pt idx="1">
                  <c:v>1</c:v>
                </c:pt>
                <c:pt idx="2">
                  <c:v>1</c:v>
                </c:pt>
                <c:pt idx="3">
                  <c:v>1</c:v>
                </c:pt>
                <c:pt idx="4">
                  <c:v>1</c:v>
                </c:pt>
                <c:pt idx="5">
                  <c:v>1</c:v>
                </c:pt>
                <c:pt idx="6">
                  <c:v>1</c:v>
                </c:pt>
                <c:pt idx="7">
                  <c:v>2</c:v>
                </c:pt>
                <c:pt idx="8">
                  <c:v>2</c:v>
                </c:pt>
                <c:pt idx="9">
                  <c:v>2</c:v>
                </c:pt>
                <c:pt idx="10">
                  <c:v>2</c:v>
                </c:pt>
                <c:pt idx="11">
                  <c:v>3</c:v>
                </c:pt>
                <c:pt idx="12">
                  <c:v>3</c:v>
                </c:pt>
                <c:pt idx="13">
                  <c:v>3</c:v>
                </c:pt>
                <c:pt idx="14">
                  <c:v>3</c:v>
                </c:pt>
                <c:pt idx="15">
                  <c:v>3</c:v>
                </c:pt>
                <c:pt idx="16">
                  <c:v>4</c:v>
                </c:pt>
                <c:pt idx="17">
                  <c:v>4</c:v>
                </c:pt>
                <c:pt idx="18">
                  <c:v>4</c:v>
                </c:pt>
                <c:pt idx="19">
                  <c:v>5</c:v>
                </c:pt>
                <c:pt idx="20">
                  <c:v>6</c:v>
                </c:pt>
                <c:pt idx="21">
                  <c:v>6</c:v>
                </c:pt>
                <c:pt idx="22">
                  <c:v>6</c:v>
                </c:pt>
                <c:pt idx="23">
                  <c:v>7</c:v>
                </c:pt>
                <c:pt idx="24">
                  <c:v>8</c:v>
                </c:pt>
                <c:pt idx="25">
                  <c:v>9</c:v>
                </c:pt>
                <c:pt idx="26">
                  <c:v>10</c:v>
                </c:pt>
                <c:pt idx="27">
                  <c:v>14</c:v>
                </c:pt>
                <c:pt idx="28">
                  <c:v>16</c:v>
                </c:pt>
                <c:pt idx="29">
                  <c:v>24</c:v>
                </c:pt>
                <c:pt idx="30">
                  <c:v>54</c:v>
                </c:pt>
                <c:pt idx="31">
                  <c:v>68</c:v>
                </c:pt>
                <c:pt idx="32">
                  <c:v>89</c:v>
                </c:pt>
              </c:numCache>
            </c:numRef>
          </c:val>
          <c:extLst>
            <c:ext xmlns:c16="http://schemas.microsoft.com/office/drawing/2014/chart" uri="{C3380CC4-5D6E-409C-BE32-E72D297353CC}">
              <c16:uniqueId val="{00000002-A0A7-468E-AD87-DC4AD9238384}"/>
            </c:ext>
          </c:extLst>
        </c:ser>
        <c:dLbls>
          <c:dLblPos val="outEnd"/>
          <c:showLegendKey val="0"/>
          <c:showVal val="1"/>
          <c:showCatName val="0"/>
          <c:showSerName val="0"/>
          <c:showPercent val="0"/>
          <c:showBubbleSize val="0"/>
        </c:dLbls>
        <c:gapWidth val="25"/>
        <c:axId val="1260291135"/>
        <c:axId val="1260289695"/>
      </c:barChart>
      <c:catAx>
        <c:axId val="1260291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ln>
                  <a:noFill/>
                </a:ln>
                <a:solidFill>
                  <a:schemeClr val="tx1"/>
                </a:solidFill>
                <a:latin typeface="+mn-lt"/>
                <a:ea typeface="+mn-ea"/>
                <a:cs typeface="+mn-cs"/>
              </a:defRPr>
            </a:pPr>
            <a:endParaRPr lang="en-US"/>
          </a:p>
        </c:txPr>
        <c:crossAx val="1260289695"/>
        <c:crosses val="autoZero"/>
        <c:auto val="1"/>
        <c:lblAlgn val="ctr"/>
        <c:lblOffset val="100"/>
        <c:noMultiLvlLbl val="0"/>
      </c:catAx>
      <c:valAx>
        <c:axId val="1260289695"/>
        <c:scaling>
          <c:orientation val="minMax"/>
        </c:scaling>
        <c:delete val="1"/>
        <c:axPos val="b"/>
        <c:numFmt formatCode="General" sourceLinked="1"/>
        <c:majorTickMark val="none"/>
        <c:minorTickMark val="none"/>
        <c:tickLblPos val="nextTo"/>
        <c:crossAx val="1260291135"/>
        <c:crosses val="autoZero"/>
        <c:crossBetween val="between"/>
      </c:valAx>
      <c:spPr>
        <a:ln>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[International_Student_FA25_Shuffled_1.xlsx]Design!PivotTable13</c:name>
    <c:fmtId val="9"/>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E000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E0009"/>
          </a:solidFill>
          <a:ln>
            <a:noFill/>
          </a:ln>
          <a:effectLst/>
        </c:spPr>
      </c:pivotFmt>
    </c:pivotFmts>
    <c:plotArea>
      <c:layout/>
      <c:barChart>
        <c:barDir val="bar"/>
        <c:grouping val="clustered"/>
        <c:varyColors val="0"/>
        <c:ser>
          <c:idx val="0"/>
          <c:order val="0"/>
          <c:tx>
            <c:strRef>
              <c:f>Design!$H$5</c:f>
              <c:strCache>
                <c:ptCount val="1"/>
                <c:pt idx="0">
                  <c:v>Total</c:v>
                </c:pt>
              </c:strCache>
            </c:strRef>
          </c:tx>
          <c:spPr>
            <a:solidFill>
              <a:srgbClr val="5E000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Design!$G$6:$G$39</c:f>
              <c:strCache>
                <c:ptCount val="33"/>
                <c:pt idx="0">
                  <c:v>Malaysia</c:v>
                </c:pt>
                <c:pt idx="1">
                  <c:v>Malawi</c:v>
                </c:pt>
                <c:pt idx="2">
                  <c:v>Benin</c:v>
                </c:pt>
                <c:pt idx="3">
                  <c:v>Bosnia and Herzegovina</c:v>
                </c:pt>
                <c:pt idx="4">
                  <c:v>Mexico</c:v>
                </c:pt>
                <c:pt idx="5">
                  <c:v>Ethiopia</c:v>
                </c:pt>
                <c:pt idx="6">
                  <c:v>Turkey</c:v>
                </c:pt>
                <c:pt idx="7">
                  <c:v>Uganda</c:v>
                </c:pt>
                <c:pt idx="8">
                  <c:v>Italy</c:v>
                </c:pt>
                <c:pt idx="9">
                  <c:v>Poland</c:v>
                </c:pt>
                <c:pt idx="10">
                  <c:v>Zambia</c:v>
                </c:pt>
                <c:pt idx="11">
                  <c:v>Portugal</c:v>
                </c:pt>
                <c:pt idx="12">
                  <c:v>Kazakhstan</c:v>
                </c:pt>
                <c:pt idx="13">
                  <c:v>Russia</c:v>
                </c:pt>
                <c:pt idx="14">
                  <c:v>Indonesia</c:v>
                </c:pt>
                <c:pt idx="15">
                  <c:v>Spain</c:v>
                </c:pt>
                <c:pt idx="16">
                  <c:v>Mongolia</c:v>
                </c:pt>
                <c:pt idx="17">
                  <c:v>Gambia, The</c:v>
                </c:pt>
                <c:pt idx="18">
                  <c:v>Tanzania</c:v>
                </c:pt>
                <c:pt idx="19">
                  <c:v>South Korea</c:v>
                </c:pt>
                <c:pt idx="20">
                  <c:v>Peru</c:v>
                </c:pt>
                <c:pt idx="21">
                  <c:v>Japan</c:v>
                </c:pt>
                <c:pt idx="22">
                  <c:v>China</c:v>
                </c:pt>
                <c:pt idx="23">
                  <c:v>Brazil</c:v>
                </c:pt>
                <c:pt idx="24">
                  <c:v>Vietnam</c:v>
                </c:pt>
                <c:pt idx="25">
                  <c:v>Pakistan</c:v>
                </c:pt>
                <c:pt idx="26">
                  <c:v>Iran</c:v>
                </c:pt>
                <c:pt idx="27">
                  <c:v>Nepal</c:v>
                </c:pt>
                <c:pt idx="28">
                  <c:v>Ghana</c:v>
                </c:pt>
                <c:pt idx="29">
                  <c:v>India</c:v>
                </c:pt>
                <c:pt idx="30">
                  <c:v>Kenya</c:v>
                </c:pt>
                <c:pt idx="31">
                  <c:v>Bangladesh</c:v>
                </c:pt>
                <c:pt idx="32">
                  <c:v>Nigeria</c:v>
                </c:pt>
              </c:strCache>
            </c:strRef>
          </c:cat>
          <c:val>
            <c:numRef>
              <c:f>Design!$H$6:$H$39</c:f>
              <c:numCache>
                <c:formatCode>General</c:formatCode>
                <c:ptCount val="33"/>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2</c:v>
                </c:pt>
                <c:pt idx="17">
                  <c:v>2</c:v>
                </c:pt>
                <c:pt idx="18">
                  <c:v>2</c:v>
                </c:pt>
                <c:pt idx="19">
                  <c:v>2</c:v>
                </c:pt>
                <c:pt idx="20">
                  <c:v>3</c:v>
                </c:pt>
                <c:pt idx="21">
                  <c:v>3</c:v>
                </c:pt>
                <c:pt idx="22">
                  <c:v>4</c:v>
                </c:pt>
                <c:pt idx="23">
                  <c:v>4</c:v>
                </c:pt>
                <c:pt idx="24">
                  <c:v>5</c:v>
                </c:pt>
                <c:pt idx="25">
                  <c:v>10</c:v>
                </c:pt>
                <c:pt idx="26">
                  <c:v>12</c:v>
                </c:pt>
                <c:pt idx="27">
                  <c:v>20</c:v>
                </c:pt>
                <c:pt idx="28">
                  <c:v>34</c:v>
                </c:pt>
                <c:pt idx="29">
                  <c:v>55</c:v>
                </c:pt>
                <c:pt idx="30">
                  <c:v>57</c:v>
                </c:pt>
                <c:pt idx="31">
                  <c:v>58</c:v>
                </c:pt>
                <c:pt idx="32">
                  <c:v>75</c:v>
                </c:pt>
              </c:numCache>
            </c:numRef>
          </c:val>
          <c:extLst>
            <c:ext xmlns:c16="http://schemas.microsoft.com/office/drawing/2014/chart" uri="{C3380CC4-5D6E-409C-BE32-E72D297353CC}">
              <c16:uniqueId val="{00000000-574E-48DF-B2DD-FFF5EB53E3F3}"/>
            </c:ext>
          </c:extLst>
        </c:ser>
        <c:dLbls>
          <c:dLblPos val="outEnd"/>
          <c:showLegendKey val="0"/>
          <c:showVal val="1"/>
          <c:showCatName val="0"/>
          <c:showSerName val="0"/>
          <c:showPercent val="0"/>
          <c:showBubbleSize val="0"/>
        </c:dLbls>
        <c:gapWidth val="25"/>
        <c:axId val="1425598239"/>
        <c:axId val="1425600159"/>
      </c:barChart>
      <c:catAx>
        <c:axId val="1425598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425600159"/>
        <c:crosses val="autoZero"/>
        <c:auto val="1"/>
        <c:lblAlgn val="ctr"/>
        <c:lblOffset val="100"/>
        <c:noMultiLvlLbl val="0"/>
      </c:catAx>
      <c:valAx>
        <c:axId val="1425600159"/>
        <c:scaling>
          <c:orientation val="minMax"/>
        </c:scaling>
        <c:delete val="1"/>
        <c:axPos val="b"/>
        <c:numFmt formatCode="General" sourceLinked="1"/>
        <c:majorTickMark val="none"/>
        <c:minorTickMark val="none"/>
        <c:tickLblPos val="nextTo"/>
        <c:crossAx val="1425598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[International_Student_FA25_Shuffled_1.xlsx]Design!PivotTable2</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Gender</a:t>
            </a:r>
          </a:p>
        </c:rich>
      </c:tx>
      <c:layout>
        <c:manualLayout>
          <c:xMode val="edge"/>
          <c:yMode val="edge"/>
          <c:x val="0.38694790130902074"/>
          <c:y val="3.316438228933087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C00000"/>
          </a:solidFill>
          <a:ln w="19050">
            <a:solidFill>
              <a:schemeClr val="lt1"/>
            </a:solidFill>
          </a:ln>
          <a:effectLst/>
        </c:spPr>
        <c:dLbl>
          <c:idx val="0"/>
          <c:layout>
            <c:manualLayout>
              <c:x val="7.3434107270299948E-2"/>
              <c:y val="-0.2727766794485650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5E0009"/>
          </a:solidFill>
          <a:ln w="19050">
            <a:solidFill>
              <a:schemeClr val="lt1"/>
            </a:solidFill>
          </a:ln>
          <a:effectLst/>
        </c:spPr>
        <c:dLbl>
          <c:idx val="0"/>
          <c:layout>
            <c:manualLayout>
              <c:x val="-7.8135156880957762E-2"/>
              <c:y val="0.2535518197619646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4513427248613348"/>
          <c:y val="6.4306201633830509E-2"/>
          <c:w val="0.71924356967942304"/>
          <c:h val="0.79513071803423663"/>
        </c:manualLayout>
      </c:layout>
      <c:doughnutChart>
        <c:varyColors val="1"/>
        <c:ser>
          <c:idx val="0"/>
          <c:order val="0"/>
          <c:tx>
            <c:strRef>
              <c:f>Design!$B$3</c:f>
              <c:strCache>
                <c:ptCount val="1"/>
                <c:pt idx="0">
                  <c:v>Total</c:v>
                </c:pt>
              </c:strCache>
            </c:strRef>
          </c:tx>
          <c:dPt>
            <c:idx val="0"/>
            <c:bubble3D val="0"/>
            <c:spPr>
              <a:solidFill>
                <a:srgbClr val="C00000"/>
              </a:solidFill>
              <a:ln w="19050">
                <a:solidFill>
                  <a:schemeClr val="lt1"/>
                </a:solidFill>
              </a:ln>
              <a:effectLst/>
            </c:spPr>
            <c:extLst>
              <c:ext xmlns:c16="http://schemas.microsoft.com/office/drawing/2014/chart" uri="{C3380CC4-5D6E-409C-BE32-E72D297353CC}">
                <c16:uniqueId val="{00000001-4143-48B4-85F3-D55495CC2914}"/>
              </c:ext>
            </c:extLst>
          </c:dPt>
          <c:dPt>
            <c:idx val="1"/>
            <c:bubble3D val="0"/>
            <c:spPr>
              <a:solidFill>
                <a:srgbClr val="5E0009"/>
              </a:solidFill>
              <a:ln w="19050">
                <a:solidFill>
                  <a:schemeClr val="lt1"/>
                </a:solidFill>
              </a:ln>
              <a:effectLst/>
            </c:spPr>
            <c:extLst>
              <c:ext xmlns:c16="http://schemas.microsoft.com/office/drawing/2014/chart" uri="{C3380CC4-5D6E-409C-BE32-E72D297353CC}">
                <c16:uniqueId val="{00000003-4143-48B4-85F3-D55495CC2914}"/>
              </c:ext>
            </c:extLst>
          </c:dPt>
          <c:dLbls>
            <c:dLbl>
              <c:idx val="0"/>
              <c:layout>
                <c:manualLayout>
                  <c:x val="7.3434107270299948E-2"/>
                  <c:y val="-0.2727766794485650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143-48B4-85F3-D55495CC2914}"/>
                </c:ext>
              </c:extLst>
            </c:dLbl>
            <c:dLbl>
              <c:idx val="1"/>
              <c:layout>
                <c:manualLayout>
                  <c:x val="-7.8135156880957762E-2"/>
                  <c:y val="0.2535518197619646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143-48B4-85F3-D55495CC291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Design!$A$4:$A$6</c:f>
              <c:strCache>
                <c:ptCount val="2"/>
                <c:pt idx="0">
                  <c:v>Female</c:v>
                </c:pt>
                <c:pt idx="1">
                  <c:v>Male</c:v>
                </c:pt>
              </c:strCache>
            </c:strRef>
          </c:cat>
          <c:val>
            <c:numRef>
              <c:f>Design!$B$4:$B$6</c:f>
              <c:numCache>
                <c:formatCode>General</c:formatCode>
                <c:ptCount val="2"/>
                <c:pt idx="0">
                  <c:v>189</c:v>
                </c:pt>
                <c:pt idx="1">
                  <c:v>175</c:v>
                </c:pt>
              </c:numCache>
            </c:numRef>
          </c:val>
          <c:extLst>
            <c:ext xmlns:c16="http://schemas.microsoft.com/office/drawing/2014/chart" uri="{C3380CC4-5D6E-409C-BE32-E72D297353CC}">
              <c16:uniqueId val="{00000004-4143-48B4-85F3-D55495CC2914}"/>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layout>
        <c:manualLayout>
          <c:xMode val="edge"/>
          <c:yMode val="edge"/>
          <c:x val="0.27349328009763196"/>
          <c:y val="0.88382306652417786"/>
          <c:w val="0.46797010720750204"/>
          <c:h val="7.1442659611885367E-2"/>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[International_Student_FA25_Shuffled_1.xlsx]Design!PivotTable1</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baseline="0">
                <a:solidFill>
                  <a:schemeClr val="tx1"/>
                </a:solidFill>
              </a:rPr>
              <a:t>Scholarship</a:t>
            </a:r>
            <a:endParaRPr lang="en-US" b="1">
              <a:solidFill>
                <a:schemeClr val="tx1"/>
              </a:solidFill>
            </a:endParaRPr>
          </a:p>
        </c:rich>
      </c:tx>
      <c:layout>
        <c:manualLayout>
          <c:xMode val="edge"/>
          <c:yMode val="edge"/>
          <c:x val="0.32993076367668434"/>
          <c:y val="3.15931469282685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E000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E0009"/>
          </a:solidFill>
          <a:ln>
            <a:noFill/>
          </a:ln>
          <a:effectLst/>
        </c:spPr>
        <c:dLbl>
          <c:idx val="0"/>
          <c:layout>
            <c:manualLayout>
              <c:x val="-8.8900555461364707E-17"/>
              <c:y val="-2.4119522300651442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081565186031141E-2"/>
          <c:y val="0.17211136890951276"/>
          <c:w val="0.84041878179523188"/>
          <c:h val="0.7206112866982114"/>
        </c:manualLayout>
      </c:layout>
      <c:barChart>
        <c:barDir val="col"/>
        <c:grouping val="clustered"/>
        <c:varyColors val="0"/>
        <c:ser>
          <c:idx val="0"/>
          <c:order val="0"/>
          <c:tx>
            <c:strRef>
              <c:f>Design!$O$5</c:f>
              <c:strCache>
                <c:ptCount val="1"/>
                <c:pt idx="0">
                  <c:v>Total</c:v>
                </c:pt>
              </c:strCache>
            </c:strRef>
          </c:tx>
          <c:spPr>
            <a:solidFill>
              <a:srgbClr val="5E0009"/>
            </a:solidFill>
            <a:ln>
              <a:noFill/>
            </a:ln>
            <a:effectLst/>
          </c:spPr>
          <c:invertIfNegative val="0"/>
          <c:dPt>
            <c:idx val="2"/>
            <c:invertIfNegative val="0"/>
            <c:bubble3D val="0"/>
            <c:spPr>
              <a:solidFill>
                <a:srgbClr val="5E0009"/>
              </a:solidFill>
              <a:ln>
                <a:noFill/>
              </a:ln>
              <a:effectLst/>
            </c:spPr>
            <c:extLst>
              <c:ext xmlns:c16="http://schemas.microsoft.com/office/drawing/2014/chart" uri="{C3380CC4-5D6E-409C-BE32-E72D297353CC}">
                <c16:uniqueId val="{00000001-2823-46A5-9AF1-5A22BDFCC924}"/>
              </c:ext>
            </c:extLst>
          </c:dPt>
          <c:dLbls>
            <c:dLbl>
              <c:idx val="2"/>
              <c:layout>
                <c:manualLayout>
                  <c:x val="-8.8900555461364707E-17"/>
                  <c:y val="-2.411952230065144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823-46A5-9AF1-5A22BDFCC924}"/>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Design!$N$6:$N$10</c:f>
              <c:strCache>
                <c:ptCount val="4"/>
                <c:pt idx="0">
                  <c:v>IPFW</c:v>
                </c:pt>
                <c:pt idx="1">
                  <c:v>MOGO</c:v>
                </c:pt>
                <c:pt idx="2">
                  <c:v>No</c:v>
                </c:pt>
                <c:pt idx="3">
                  <c:v>(blank)</c:v>
                </c:pt>
              </c:strCache>
            </c:strRef>
          </c:cat>
          <c:val>
            <c:numRef>
              <c:f>Design!$O$6:$O$10</c:f>
              <c:numCache>
                <c:formatCode>General</c:formatCode>
                <c:ptCount val="4"/>
                <c:pt idx="0">
                  <c:v>12</c:v>
                </c:pt>
                <c:pt idx="1">
                  <c:v>68</c:v>
                </c:pt>
                <c:pt idx="2">
                  <c:v>284</c:v>
                </c:pt>
              </c:numCache>
            </c:numRef>
          </c:val>
          <c:extLst>
            <c:ext xmlns:c16="http://schemas.microsoft.com/office/drawing/2014/chart" uri="{C3380CC4-5D6E-409C-BE32-E72D297353CC}">
              <c16:uniqueId val="{00000000-2823-46A5-9AF1-5A22BDFCC924}"/>
            </c:ext>
          </c:extLst>
        </c:ser>
        <c:dLbls>
          <c:dLblPos val="outEnd"/>
          <c:showLegendKey val="0"/>
          <c:showVal val="1"/>
          <c:showCatName val="0"/>
          <c:showSerName val="0"/>
          <c:showPercent val="0"/>
          <c:showBubbleSize val="0"/>
        </c:dLbls>
        <c:gapWidth val="219"/>
        <c:overlap val="-27"/>
        <c:axId val="1425622719"/>
        <c:axId val="1425630399"/>
      </c:barChart>
      <c:catAx>
        <c:axId val="1425622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25630399"/>
        <c:crosses val="autoZero"/>
        <c:auto val="1"/>
        <c:lblAlgn val="ctr"/>
        <c:lblOffset val="100"/>
        <c:noMultiLvlLbl val="0"/>
      </c:catAx>
      <c:valAx>
        <c:axId val="14256303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2562271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7"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34925</xdr:colOff>
      <xdr:row>49</xdr:row>
      <xdr:rowOff>36512</xdr:rowOff>
    </xdr:from>
    <xdr:to>
      <xdr:col>4</xdr:col>
      <xdr:colOff>933450</xdr:colOff>
      <xdr:row>64</xdr:row>
      <xdr:rowOff>68262</xdr:rowOff>
    </xdr:to>
    <xdr:graphicFrame macro="">
      <xdr:nvGraphicFramePr>
        <xdr:cNvPr id="4" name="Chart 3">
          <a:extLst>
            <a:ext uri="{FF2B5EF4-FFF2-40B4-BE49-F238E27FC236}">
              <a16:creationId xmlns:a16="http://schemas.microsoft.com/office/drawing/2014/main" id="{121D3F5B-193A-39C3-542B-DFA51A5EE0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47624</xdr:colOff>
      <xdr:row>65</xdr:row>
      <xdr:rowOff>1587</xdr:rowOff>
    </xdr:from>
    <xdr:to>
      <xdr:col>4</xdr:col>
      <xdr:colOff>876299</xdr:colOff>
      <xdr:row>80</xdr:row>
      <xdr:rowOff>26987</xdr:rowOff>
    </xdr:to>
    <xdr:graphicFrame macro="">
      <xdr:nvGraphicFramePr>
        <xdr:cNvPr id="3" name="Chart 2">
          <a:extLst>
            <a:ext uri="{FF2B5EF4-FFF2-40B4-BE49-F238E27FC236}">
              <a16:creationId xmlns:a16="http://schemas.microsoft.com/office/drawing/2014/main" id="{9F4EB181-E4A3-4224-AFD6-1159CF3DEE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36512</xdr:colOff>
      <xdr:row>80</xdr:row>
      <xdr:rowOff>141287</xdr:rowOff>
    </xdr:from>
    <xdr:to>
      <xdr:col>4</xdr:col>
      <xdr:colOff>287337</xdr:colOff>
      <xdr:row>95</xdr:row>
      <xdr:rowOff>169862</xdr:rowOff>
    </xdr:to>
    <xdr:graphicFrame macro="">
      <xdr:nvGraphicFramePr>
        <xdr:cNvPr id="5" name="Chart 4">
          <a:extLst>
            <a:ext uri="{FF2B5EF4-FFF2-40B4-BE49-F238E27FC236}">
              <a16:creationId xmlns:a16="http://schemas.microsoft.com/office/drawing/2014/main" id="{28DAB576-F587-151A-5512-0491EFF5F1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48</xdr:row>
      <xdr:rowOff>179387</xdr:rowOff>
    </xdr:from>
    <xdr:to>
      <xdr:col>10</xdr:col>
      <xdr:colOff>63500</xdr:colOff>
      <xdr:row>64</xdr:row>
      <xdr:rowOff>30162</xdr:rowOff>
    </xdr:to>
    <xdr:graphicFrame macro="">
      <xdr:nvGraphicFramePr>
        <xdr:cNvPr id="6" name="Chart 5">
          <a:extLst>
            <a:ext uri="{FF2B5EF4-FFF2-40B4-BE49-F238E27FC236}">
              <a16:creationId xmlns:a16="http://schemas.microsoft.com/office/drawing/2014/main" id="{23A503A6-0F21-6CF3-A686-8FE5F165D8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133350</xdr:colOff>
      <xdr:row>13</xdr:row>
      <xdr:rowOff>171450</xdr:rowOff>
    </xdr:from>
    <xdr:to>
      <xdr:col>4</xdr:col>
      <xdr:colOff>1962150</xdr:colOff>
      <xdr:row>19</xdr:row>
      <xdr:rowOff>15875</xdr:rowOff>
    </xdr:to>
    <mc:AlternateContent xmlns:mc="http://schemas.openxmlformats.org/markup-compatibility/2006" xmlns:a14="http://schemas.microsoft.com/office/drawing/2010/main">
      <mc:Choice Requires="a14">
        <xdr:graphicFrame macro="">
          <xdr:nvGraphicFramePr>
            <xdr:cNvPr id="11" name="Sex">
              <a:extLst>
                <a:ext uri="{FF2B5EF4-FFF2-40B4-BE49-F238E27FC236}">
                  <a16:creationId xmlns:a16="http://schemas.microsoft.com/office/drawing/2014/main" id="{2249EDA9-6662-F602-EFCC-D07042736A53}"/>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4448175" y="2524125"/>
              <a:ext cx="1828800" cy="930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3878</xdr:rowOff>
    </xdr:from>
    <xdr:to>
      <xdr:col>25</xdr:col>
      <xdr:colOff>178299</xdr:colOff>
      <xdr:row>44</xdr:row>
      <xdr:rowOff>151989</xdr:rowOff>
    </xdr:to>
    <xdr:sp macro="" textlink="">
      <xdr:nvSpPr>
        <xdr:cNvPr id="2" name="Rectangle 1">
          <a:extLst>
            <a:ext uri="{FF2B5EF4-FFF2-40B4-BE49-F238E27FC236}">
              <a16:creationId xmlns:a16="http://schemas.microsoft.com/office/drawing/2014/main" id="{B62A14F9-D54B-83CE-5B8B-AAA14B4DC918}"/>
            </a:ext>
          </a:extLst>
        </xdr:cNvPr>
        <xdr:cNvSpPr/>
      </xdr:nvSpPr>
      <xdr:spPr>
        <a:xfrm>
          <a:off x="605118" y="183172"/>
          <a:ext cx="14701122" cy="7857758"/>
        </a:xfrm>
        <a:prstGeom prst="rect">
          <a:avLst/>
        </a:prstGeom>
        <a:solidFill>
          <a:schemeClr val="bg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109684</xdr:colOff>
      <xdr:row>1</xdr:row>
      <xdr:rowOff>124288</xdr:rowOff>
    </xdr:from>
    <xdr:to>
      <xdr:col>4</xdr:col>
      <xdr:colOff>517939</xdr:colOff>
      <xdr:row>44</xdr:row>
      <xdr:rowOff>49500</xdr:rowOff>
    </xdr:to>
    <xdr:sp macro="" textlink="">
      <xdr:nvSpPr>
        <xdr:cNvPr id="3" name="Rectangle: Rounded Corners 2">
          <a:extLst>
            <a:ext uri="{FF2B5EF4-FFF2-40B4-BE49-F238E27FC236}">
              <a16:creationId xmlns:a16="http://schemas.microsoft.com/office/drawing/2014/main" id="{6B6B9E32-65CA-C3F0-F23A-25DF9C93925D}"/>
            </a:ext>
          </a:extLst>
        </xdr:cNvPr>
        <xdr:cNvSpPr/>
      </xdr:nvSpPr>
      <xdr:spPr>
        <a:xfrm>
          <a:off x="722005" y="301181"/>
          <a:ext cx="2245220" cy="7531605"/>
        </a:xfrm>
        <a:prstGeom prst="roundRect">
          <a:avLst/>
        </a:prstGeom>
        <a:solidFill>
          <a:srgbClr val="5E000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185975</xdr:colOff>
      <xdr:row>8</xdr:row>
      <xdr:rowOff>21807</xdr:rowOff>
    </xdr:from>
    <xdr:to>
      <xdr:col>4</xdr:col>
      <xdr:colOff>409273</xdr:colOff>
      <xdr:row>14</xdr:row>
      <xdr:rowOff>25638</xdr:rowOff>
    </xdr:to>
    <xdr:pic>
      <xdr:nvPicPr>
        <xdr:cNvPr id="13" name="Picture 12">
          <a:extLst>
            <a:ext uri="{FF2B5EF4-FFF2-40B4-BE49-F238E27FC236}">
              <a16:creationId xmlns:a16="http://schemas.microsoft.com/office/drawing/2014/main" id="{2827DAC5-1DCB-5D45-0A46-1F28BBEBA5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1093" y="1456160"/>
          <a:ext cx="2045001" cy="1085946"/>
        </a:xfrm>
        <a:prstGeom prst="rect">
          <a:avLst/>
        </a:prstGeom>
      </xdr:spPr>
    </xdr:pic>
    <xdr:clientData/>
  </xdr:twoCellAnchor>
  <xdr:twoCellAnchor editAs="oneCell">
    <xdr:from>
      <xdr:col>1</xdr:col>
      <xdr:colOff>287840</xdr:colOff>
      <xdr:row>3</xdr:row>
      <xdr:rowOff>169112</xdr:rowOff>
    </xdr:from>
    <xdr:to>
      <xdr:col>4</xdr:col>
      <xdr:colOff>402713</xdr:colOff>
      <xdr:row>9</xdr:row>
      <xdr:rowOff>163232</xdr:rowOff>
    </xdr:to>
    <xdr:pic>
      <xdr:nvPicPr>
        <xdr:cNvPr id="7" name="Picture 6">
          <a:extLst>
            <a:ext uri="{FF2B5EF4-FFF2-40B4-BE49-F238E27FC236}">
              <a16:creationId xmlns:a16="http://schemas.microsoft.com/office/drawing/2014/main" id="{77166C84-4B79-3038-3B9A-5AA34E3CF98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92958" y="706994"/>
          <a:ext cx="1930226" cy="1063535"/>
        </a:xfrm>
        <a:prstGeom prst="rect">
          <a:avLst/>
        </a:prstGeom>
      </xdr:spPr>
    </xdr:pic>
    <xdr:clientData/>
  </xdr:twoCellAnchor>
  <xdr:twoCellAnchor>
    <xdr:from>
      <xdr:col>5</xdr:col>
      <xdr:colOff>54431</xdr:colOff>
      <xdr:row>0</xdr:row>
      <xdr:rowOff>171450</xdr:rowOff>
    </xdr:from>
    <xdr:to>
      <xdr:col>14</xdr:col>
      <xdr:colOff>387433</xdr:colOff>
      <xdr:row>44</xdr:row>
      <xdr:rowOff>76200</xdr:rowOff>
    </xdr:to>
    <xdr:sp macro="" textlink="">
      <xdr:nvSpPr>
        <xdr:cNvPr id="29" name="Rectangle: Rounded Corners 28">
          <a:extLst>
            <a:ext uri="{FF2B5EF4-FFF2-40B4-BE49-F238E27FC236}">
              <a16:creationId xmlns:a16="http://schemas.microsoft.com/office/drawing/2014/main" id="{89DC8B70-23E9-B39C-053A-D1CE7D79D995}"/>
            </a:ext>
          </a:extLst>
        </xdr:cNvPr>
        <xdr:cNvSpPr/>
      </xdr:nvSpPr>
      <xdr:spPr>
        <a:xfrm>
          <a:off x="3080019" y="171450"/>
          <a:ext cx="5779061" cy="7793691"/>
        </a:xfrm>
        <a:prstGeom prst="roundRect">
          <a:avLst>
            <a:gd name="adj" fmla="val 623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206452</xdr:colOff>
      <xdr:row>1</xdr:row>
      <xdr:rowOff>113910</xdr:rowOff>
    </xdr:from>
    <xdr:to>
      <xdr:col>9</xdr:col>
      <xdr:colOff>475009</xdr:colOff>
      <xdr:row>7</xdr:row>
      <xdr:rowOff>76616</xdr:rowOff>
    </xdr:to>
    <xdr:sp macro="" textlink="">
      <xdr:nvSpPr>
        <xdr:cNvPr id="17" name="Rectangle: Rounded Corners 16">
          <a:extLst>
            <a:ext uri="{FF2B5EF4-FFF2-40B4-BE49-F238E27FC236}">
              <a16:creationId xmlns:a16="http://schemas.microsoft.com/office/drawing/2014/main" id="{3E4ED1A4-6C12-83DF-B2DD-A2053D836B13}"/>
            </a:ext>
          </a:extLst>
        </xdr:cNvPr>
        <xdr:cNvSpPr/>
      </xdr:nvSpPr>
      <xdr:spPr>
        <a:xfrm>
          <a:off x="3268059" y="290803"/>
          <a:ext cx="2717843" cy="1024063"/>
        </a:xfrm>
        <a:prstGeom prst="roundRect">
          <a:avLst/>
        </a:prstGeom>
        <a:solidFill>
          <a:srgbClr val="5E000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569843</xdr:colOff>
      <xdr:row>2</xdr:row>
      <xdr:rowOff>78578</xdr:rowOff>
    </xdr:from>
    <xdr:to>
      <xdr:col>9</xdr:col>
      <xdr:colOff>164335</xdr:colOff>
      <xdr:row>6</xdr:row>
      <xdr:rowOff>137042</xdr:rowOff>
    </xdr:to>
    <xdr:sp macro="" textlink="Design!D15">
      <xdr:nvSpPr>
        <xdr:cNvPr id="18" name="TextBox 17">
          <a:extLst>
            <a:ext uri="{FF2B5EF4-FFF2-40B4-BE49-F238E27FC236}">
              <a16:creationId xmlns:a16="http://schemas.microsoft.com/office/drawing/2014/main" id="{E4D93D64-4A79-05F0-090A-512ABA2C5043}"/>
            </a:ext>
          </a:extLst>
        </xdr:cNvPr>
        <xdr:cNvSpPr txBox="1"/>
      </xdr:nvSpPr>
      <xdr:spPr>
        <a:xfrm>
          <a:off x="3631450" y="432364"/>
          <a:ext cx="2043778" cy="766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D7ADB82-373D-4B64-BABC-239ED3D63FBE}" type="TxLink">
            <a:rPr lang="en-US" sz="2000" b="0" i="0" u="none" strike="noStrike">
              <a:solidFill>
                <a:schemeClr val="bg2"/>
              </a:solidFill>
              <a:latin typeface="Aptos Black" panose="020B0004020202020204" pitchFamily="34" charset="0"/>
            </a:rPr>
            <a:pPr algn="ctr"/>
            <a:t>364</a:t>
          </a:fld>
          <a:endParaRPr lang="en-US" sz="2000" b="0" i="0" u="none" strike="noStrike">
            <a:solidFill>
              <a:schemeClr val="bg2"/>
            </a:solidFill>
            <a:latin typeface="Aptos Black" panose="020B0004020202020204" pitchFamily="34" charset="0"/>
          </a:endParaRPr>
        </a:p>
        <a:p>
          <a:pPr algn="ctr"/>
          <a:r>
            <a:rPr lang="en-US" sz="1200" b="0" i="0" u="none" strike="noStrike">
              <a:solidFill>
                <a:schemeClr val="bg2"/>
              </a:solidFill>
              <a:latin typeface="Aptos Black" panose="020B0004020202020204" pitchFamily="34" charset="0"/>
            </a:rPr>
            <a:t>No. of Students</a:t>
          </a:r>
        </a:p>
      </xdr:txBody>
    </xdr:sp>
    <xdr:clientData/>
  </xdr:twoCellAnchor>
  <xdr:twoCellAnchor>
    <xdr:from>
      <xdr:col>10</xdr:col>
      <xdr:colOff>11416</xdr:colOff>
      <xdr:row>1</xdr:row>
      <xdr:rowOff>102922</xdr:rowOff>
    </xdr:from>
    <xdr:to>
      <xdr:col>14</xdr:col>
      <xdr:colOff>283148</xdr:colOff>
      <xdr:row>7</xdr:row>
      <xdr:rowOff>65628</xdr:rowOff>
    </xdr:to>
    <xdr:sp macro="" textlink="">
      <xdr:nvSpPr>
        <xdr:cNvPr id="19" name="Rectangle: Rounded Corners 18">
          <a:extLst>
            <a:ext uri="{FF2B5EF4-FFF2-40B4-BE49-F238E27FC236}">
              <a16:creationId xmlns:a16="http://schemas.microsoft.com/office/drawing/2014/main" id="{F59A5090-05F3-421F-82E3-1B1FB360F350}"/>
            </a:ext>
          </a:extLst>
        </xdr:cNvPr>
        <xdr:cNvSpPr/>
      </xdr:nvSpPr>
      <xdr:spPr>
        <a:xfrm>
          <a:off x="6107416" y="283897"/>
          <a:ext cx="2710132" cy="1048556"/>
        </a:xfrm>
        <a:prstGeom prst="roundRect">
          <a:avLst/>
        </a:prstGeom>
        <a:solidFill>
          <a:srgbClr val="5E000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331622</xdr:colOff>
      <xdr:row>2</xdr:row>
      <xdr:rowOff>87664</xdr:rowOff>
    </xdr:from>
    <xdr:to>
      <xdr:col>13</xdr:col>
      <xdr:colOff>542918</xdr:colOff>
      <xdr:row>6</xdr:row>
      <xdr:rowOff>111203</xdr:rowOff>
    </xdr:to>
    <xdr:sp macro="" textlink="Design!D16">
      <xdr:nvSpPr>
        <xdr:cNvPr id="20" name="TextBox 19">
          <a:extLst>
            <a:ext uri="{FF2B5EF4-FFF2-40B4-BE49-F238E27FC236}">
              <a16:creationId xmlns:a16="http://schemas.microsoft.com/office/drawing/2014/main" id="{EC724A53-42EC-4420-9728-42FB2B50AEBA}"/>
            </a:ext>
          </a:extLst>
        </xdr:cNvPr>
        <xdr:cNvSpPr txBox="1"/>
      </xdr:nvSpPr>
      <xdr:spPr>
        <a:xfrm>
          <a:off x="6427622" y="449614"/>
          <a:ext cx="2040096" cy="747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507EE05-DC29-46CE-B7C4-F17F4F535CB4}" type="TxLink">
            <a:rPr lang="en-US" sz="2000" b="0" i="0" u="none" strike="noStrike">
              <a:solidFill>
                <a:schemeClr val="bg2"/>
              </a:solidFill>
              <a:latin typeface="Aptos Black" panose="020B0004020202020204" pitchFamily="34" charset="0"/>
            </a:rPr>
            <a:pPr algn="ctr"/>
            <a:t>57</a:t>
          </a:fld>
          <a:endParaRPr lang="en-US" sz="2000" b="0" i="0" u="none" strike="noStrike">
            <a:solidFill>
              <a:schemeClr val="bg2"/>
            </a:solidFill>
            <a:latin typeface="Aptos Black" panose="020B0004020202020204" pitchFamily="34" charset="0"/>
          </a:endParaRPr>
        </a:p>
        <a:p>
          <a:pPr algn="ctr"/>
          <a:r>
            <a:rPr lang="en-US" sz="1200" b="0" i="0" u="none" strike="noStrike">
              <a:solidFill>
                <a:schemeClr val="bg2"/>
              </a:solidFill>
              <a:latin typeface="Aptos Black" panose="020B0004020202020204" pitchFamily="34" charset="0"/>
            </a:rPr>
            <a:t>No. of GAs</a:t>
          </a:r>
        </a:p>
      </xdr:txBody>
    </xdr:sp>
    <xdr:clientData/>
  </xdr:twoCellAnchor>
  <xdr:twoCellAnchor>
    <xdr:from>
      <xdr:col>5</xdr:col>
      <xdr:colOff>201595</xdr:colOff>
      <xdr:row>8</xdr:row>
      <xdr:rowOff>2571</xdr:rowOff>
    </xdr:from>
    <xdr:to>
      <xdr:col>9</xdr:col>
      <xdr:colOff>473327</xdr:colOff>
      <xdr:row>13</xdr:row>
      <xdr:rowOff>147746</xdr:rowOff>
    </xdr:to>
    <xdr:sp macro="" textlink="">
      <xdr:nvSpPr>
        <xdr:cNvPr id="21" name="Rectangle: Rounded Corners 20">
          <a:extLst>
            <a:ext uri="{FF2B5EF4-FFF2-40B4-BE49-F238E27FC236}">
              <a16:creationId xmlns:a16="http://schemas.microsoft.com/office/drawing/2014/main" id="{77728A18-843D-42C5-A8F5-B1D9C4C1623F}"/>
            </a:ext>
          </a:extLst>
        </xdr:cNvPr>
        <xdr:cNvSpPr/>
      </xdr:nvSpPr>
      <xdr:spPr>
        <a:xfrm>
          <a:off x="3263202" y="1417714"/>
          <a:ext cx="2721018" cy="1029639"/>
        </a:xfrm>
        <a:prstGeom prst="roundRect">
          <a:avLst/>
        </a:prstGeom>
        <a:solidFill>
          <a:srgbClr val="5E000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607543</xdr:colOff>
      <xdr:row>8</xdr:row>
      <xdr:rowOff>156831</xdr:rowOff>
    </xdr:from>
    <xdr:to>
      <xdr:col>9</xdr:col>
      <xdr:colOff>182985</xdr:colOff>
      <xdr:row>13</xdr:row>
      <xdr:rowOff>20126</xdr:rowOff>
    </xdr:to>
    <xdr:sp macro="" textlink="Design!D17">
      <xdr:nvSpPr>
        <xdr:cNvPr id="22" name="TextBox 21">
          <a:extLst>
            <a:ext uri="{FF2B5EF4-FFF2-40B4-BE49-F238E27FC236}">
              <a16:creationId xmlns:a16="http://schemas.microsoft.com/office/drawing/2014/main" id="{8C70C27F-68BD-47AE-A1D8-64B5B23F04B2}"/>
            </a:ext>
          </a:extLst>
        </xdr:cNvPr>
        <xdr:cNvSpPr txBox="1"/>
      </xdr:nvSpPr>
      <xdr:spPr>
        <a:xfrm>
          <a:off x="3669150" y="1571974"/>
          <a:ext cx="2024728" cy="747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C7E0740-D9FE-423E-93B7-5C1240947441}" type="TxLink">
            <a:rPr lang="en-US" sz="2000" b="0" i="0" u="none" strike="noStrike">
              <a:solidFill>
                <a:schemeClr val="bg2"/>
              </a:solidFill>
              <a:latin typeface="Aptos Black" panose="020B0004020202020204" pitchFamily="34" charset="0"/>
            </a:rPr>
            <a:pPr algn="ctr"/>
            <a:t>33</a:t>
          </a:fld>
          <a:endParaRPr lang="en-US" sz="2000" b="0" i="0" u="none" strike="noStrike">
            <a:solidFill>
              <a:schemeClr val="bg2"/>
            </a:solidFill>
            <a:latin typeface="Aptos Black" panose="020B0004020202020204" pitchFamily="34" charset="0"/>
          </a:endParaRPr>
        </a:p>
        <a:p>
          <a:pPr algn="ctr"/>
          <a:r>
            <a:rPr lang="en-US" sz="1200" b="0" i="0" u="none" strike="noStrike">
              <a:solidFill>
                <a:schemeClr val="bg2"/>
              </a:solidFill>
              <a:latin typeface="Aptos Black" panose="020B0004020202020204" pitchFamily="34" charset="0"/>
            </a:rPr>
            <a:t>No. of Countries</a:t>
          </a:r>
        </a:p>
      </xdr:txBody>
    </xdr:sp>
    <xdr:clientData/>
  </xdr:twoCellAnchor>
  <xdr:twoCellAnchor>
    <xdr:from>
      <xdr:col>10</xdr:col>
      <xdr:colOff>11416</xdr:colOff>
      <xdr:row>7</xdr:row>
      <xdr:rowOff>160279</xdr:rowOff>
    </xdr:from>
    <xdr:to>
      <xdr:col>14</xdr:col>
      <xdr:colOff>276798</xdr:colOff>
      <xdr:row>13</xdr:row>
      <xdr:rowOff>122211</xdr:rowOff>
    </xdr:to>
    <xdr:sp macro="" textlink="">
      <xdr:nvSpPr>
        <xdr:cNvPr id="23" name="Rectangle: Rounded Corners 22">
          <a:extLst>
            <a:ext uri="{FF2B5EF4-FFF2-40B4-BE49-F238E27FC236}">
              <a16:creationId xmlns:a16="http://schemas.microsoft.com/office/drawing/2014/main" id="{536AAE3B-DA4F-4EDE-A15E-BEACD533519F}"/>
            </a:ext>
          </a:extLst>
        </xdr:cNvPr>
        <xdr:cNvSpPr/>
      </xdr:nvSpPr>
      <xdr:spPr>
        <a:xfrm>
          <a:off x="6107416" y="1427104"/>
          <a:ext cx="2703782" cy="1047782"/>
        </a:xfrm>
        <a:prstGeom prst="roundRect">
          <a:avLst/>
        </a:prstGeom>
        <a:solidFill>
          <a:srgbClr val="5E000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345566</xdr:colOff>
      <xdr:row>8</xdr:row>
      <xdr:rowOff>124948</xdr:rowOff>
    </xdr:from>
    <xdr:to>
      <xdr:col>13</xdr:col>
      <xdr:colOff>531008</xdr:colOff>
      <xdr:row>13</xdr:row>
      <xdr:rowOff>7293</xdr:rowOff>
    </xdr:to>
    <xdr:sp macro="" textlink="Design!D18">
      <xdr:nvSpPr>
        <xdr:cNvPr id="24" name="TextBox 23">
          <a:extLst>
            <a:ext uri="{FF2B5EF4-FFF2-40B4-BE49-F238E27FC236}">
              <a16:creationId xmlns:a16="http://schemas.microsoft.com/office/drawing/2014/main" id="{A0BB006E-2D36-4287-BEF3-6AA4430412B9}"/>
            </a:ext>
          </a:extLst>
        </xdr:cNvPr>
        <xdr:cNvSpPr txBox="1"/>
      </xdr:nvSpPr>
      <xdr:spPr>
        <a:xfrm>
          <a:off x="6441566" y="1572748"/>
          <a:ext cx="2014242" cy="787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F96CF8-EAC3-419C-A9D0-89F8C4DC0567}" type="TxLink">
            <a:rPr lang="en-US" sz="2000" b="0" i="0" u="none" strike="noStrike">
              <a:solidFill>
                <a:schemeClr val="bg2"/>
              </a:solidFill>
              <a:latin typeface="Aptos Black" panose="020B0004020202020204" pitchFamily="34" charset="0"/>
            </a:rPr>
            <a:pPr algn="ctr"/>
            <a:t>33</a:t>
          </a:fld>
          <a:endParaRPr lang="en-US" sz="2000" b="0" i="0" u="none" strike="noStrike">
            <a:solidFill>
              <a:schemeClr val="bg2"/>
            </a:solidFill>
            <a:latin typeface="Aptos Black" panose="020B0004020202020204" pitchFamily="34" charset="0"/>
          </a:endParaRPr>
        </a:p>
        <a:p>
          <a:pPr algn="ctr"/>
          <a:r>
            <a:rPr lang="en-US" sz="1200" b="0" i="0" u="none" strike="noStrike">
              <a:solidFill>
                <a:schemeClr val="bg2"/>
              </a:solidFill>
              <a:latin typeface="Aptos Black" panose="020B0004020202020204" pitchFamily="34" charset="0"/>
            </a:rPr>
            <a:t>No. of</a:t>
          </a:r>
          <a:r>
            <a:rPr lang="en-US" sz="1200" b="0" i="0" u="none" strike="noStrike" baseline="0">
              <a:solidFill>
                <a:schemeClr val="bg2"/>
              </a:solidFill>
              <a:latin typeface="Aptos Black" panose="020B0004020202020204" pitchFamily="34" charset="0"/>
            </a:rPr>
            <a:t> Programs Enrolled</a:t>
          </a:r>
          <a:endParaRPr lang="en-US" sz="1200" b="0" i="0" u="none" strike="noStrike">
            <a:solidFill>
              <a:schemeClr val="bg2"/>
            </a:solidFill>
            <a:latin typeface="Aptos Black" panose="020B0004020202020204" pitchFamily="34" charset="0"/>
          </a:endParaRPr>
        </a:p>
      </xdr:txBody>
    </xdr:sp>
    <xdr:clientData/>
  </xdr:twoCellAnchor>
  <xdr:twoCellAnchor>
    <xdr:from>
      <xdr:col>5</xdr:col>
      <xdr:colOff>219589</xdr:colOff>
      <xdr:row>14</xdr:row>
      <xdr:rowOff>46086</xdr:rowOff>
    </xdr:from>
    <xdr:to>
      <xdr:col>9</xdr:col>
      <xdr:colOff>469096</xdr:colOff>
      <xdr:row>20</xdr:row>
      <xdr:rowOff>8793</xdr:rowOff>
    </xdr:to>
    <xdr:sp macro="" textlink="">
      <xdr:nvSpPr>
        <xdr:cNvPr id="25" name="Rectangle: Rounded Corners 24">
          <a:extLst>
            <a:ext uri="{FF2B5EF4-FFF2-40B4-BE49-F238E27FC236}">
              <a16:creationId xmlns:a16="http://schemas.microsoft.com/office/drawing/2014/main" id="{E4EA98B2-871E-44C9-AD60-92481CAC4879}"/>
            </a:ext>
          </a:extLst>
        </xdr:cNvPr>
        <xdr:cNvSpPr/>
      </xdr:nvSpPr>
      <xdr:spPr>
        <a:xfrm>
          <a:off x="3267589" y="2579736"/>
          <a:ext cx="2687907" cy="1048557"/>
        </a:xfrm>
        <a:prstGeom prst="roundRect">
          <a:avLst/>
        </a:prstGeom>
        <a:solidFill>
          <a:srgbClr val="5E000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561477</xdr:colOff>
      <xdr:row>15</xdr:row>
      <xdr:rowOff>8503</xdr:rowOff>
    </xdr:from>
    <xdr:to>
      <xdr:col>9</xdr:col>
      <xdr:colOff>159144</xdr:colOff>
      <xdr:row>19</xdr:row>
      <xdr:rowOff>25693</xdr:rowOff>
    </xdr:to>
    <xdr:sp macro="" textlink="Design!D19">
      <xdr:nvSpPr>
        <xdr:cNvPr id="26" name="TextBox 25">
          <a:extLst>
            <a:ext uri="{FF2B5EF4-FFF2-40B4-BE49-F238E27FC236}">
              <a16:creationId xmlns:a16="http://schemas.microsoft.com/office/drawing/2014/main" id="{F8E21510-075E-4080-8108-A2B34A106E0F}"/>
            </a:ext>
          </a:extLst>
        </xdr:cNvPr>
        <xdr:cNvSpPr txBox="1"/>
      </xdr:nvSpPr>
      <xdr:spPr>
        <a:xfrm>
          <a:off x="3609477" y="2723128"/>
          <a:ext cx="2036067" cy="7410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BB431BF-EBEA-4118-905C-0DDC49A2B9BE}" type="TxLink">
            <a:rPr lang="en-US" sz="2000" b="0" i="0" u="none" strike="noStrike">
              <a:solidFill>
                <a:schemeClr val="bg2"/>
              </a:solidFill>
              <a:latin typeface="Aptos Black" panose="020B0004020202020204" pitchFamily="34" charset="0"/>
            </a:rPr>
            <a:pPr algn="ctr"/>
            <a:t>141</a:t>
          </a:fld>
          <a:endParaRPr lang="en-US" sz="1200" b="0" i="0" u="none" strike="noStrike">
            <a:solidFill>
              <a:schemeClr val="bg2"/>
            </a:solidFill>
            <a:latin typeface="Aptos Black" panose="020B0004020202020204" pitchFamily="34" charset="0"/>
          </a:endParaRPr>
        </a:p>
        <a:p>
          <a:pPr algn="ctr"/>
          <a:r>
            <a:rPr lang="en-US" sz="1200" b="0" i="0" u="none" strike="noStrike">
              <a:solidFill>
                <a:schemeClr val="bg2"/>
              </a:solidFill>
              <a:latin typeface="Aptos Black" panose="020B0004020202020204" pitchFamily="34" charset="0"/>
            </a:rPr>
            <a:t>No.</a:t>
          </a:r>
          <a:r>
            <a:rPr lang="en-US" sz="1200" b="0" i="0" u="none" strike="noStrike" baseline="0">
              <a:solidFill>
                <a:schemeClr val="bg2"/>
              </a:solidFill>
              <a:latin typeface="Aptos Black" panose="020B0004020202020204" pitchFamily="34" charset="0"/>
            </a:rPr>
            <a:t> of I-901 Fee Paid</a:t>
          </a:r>
          <a:endParaRPr lang="en-US" sz="2000" b="0" i="0" u="none" strike="noStrike">
            <a:solidFill>
              <a:schemeClr val="bg2"/>
            </a:solidFill>
            <a:latin typeface="Aptos Black" panose="020B0004020202020204" pitchFamily="34" charset="0"/>
          </a:endParaRPr>
        </a:p>
      </xdr:txBody>
    </xdr:sp>
    <xdr:clientData/>
  </xdr:twoCellAnchor>
  <xdr:twoCellAnchor>
    <xdr:from>
      <xdr:col>10</xdr:col>
      <xdr:colOff>17432</xdr:colOff>
      <xdr:row>14</xdr:row>
      <xdr:rowOff>50622</xdr:rowOff>
    </xdr:from>
    <xdr:to>
      <xdr:col>14</xdr:col>
      <xdr:colOff>273289</xdr:colOff>
      <xdr:row>19</xdr:row>
      <xdr:rowOff>174347</xdr:rowOff>
    </xdr:to>
    <xdr:sp macro="" textlink="">
      <xdr:nvSpPr>
        <xdr:cNvPr id="27" name="Rectangle: Rounded Corners 26">
          <a:extLst>
            <a:ext uri="{FF2B5EF4-FFF2-40B4-BE49-F238E27FC236}">
              <a16:creationId xmlns:a16="http://schemas.microsoft.com/office/drawing/2014/main" id="{E6F2408E-8E46-47D5-84E2-3CC39B340BF4}"/>
            </a:ext>
          </a:extLst>
        </xdr:cNvPr>
        <xdr:cNvSpPr/>
      </xdr:nvSpPr>
      <xdr:spPr>
        <a:xfrm>
          <a:off x="6113432" y="2584272"/>
          <a:ext cx="2694257" cy="1028600"/>
        </a:xfrm>
        <a:prstGeom prst="roundRect">
          <a:avLst/>
        </a:prstGeom>
        <a:solidFill>
          <a:srgbClr val="5E000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341095</xdr:colOff>
      <xdr:row>15</xdr:row>
      <xdr:rowOff>1246</xdr:rowOff>
    </xdr:from>
    <xdr:to>
      <xdr:col>13</xdr:col>
      <xdr:colOff>542866</xdr:colOff>
      <xdr:row>19</xdr:row>
      <xdr:rowOff>27961</xdr:rowOff>
    </xdr:to>
    <xdr:sp macro="" textlink="Design!D20">
      <xdr:nvSpPr>
        <xdr:cNvPr id="28" name="TextBox 27">
          <a:extLst>
            <a:ext uri="{FF2B5EF4-FFF2-40B4-BE49-F238E27FC236}">
              <a16:creationId xmlns:a16="http://schemas.microsoft.com/office/drawing/2014/main" id="{58A64731-4D91-4F3F-AC47-ACF2BB20B902}"/>
            </a:ext>
          </a:extLst>
        </xdr:cNvPr>
        <xdr:cNvSpPr txBox="1"/>
      </xdr:nvSpPr>
      <xdr:spPr>
        <a:xfrm>
          <a:off x="6437095" y="2715871"/>
          <a:ext cx="2030571" cy="750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5A8159-55A8-4E13-934B-AD91B09BBE82}" type="TxLink">
            <a:rPr lang="en-US" sz="2000" b="0" i="0" u="none" strike="noStrike">
              <a:solidFill>
                <a:schemeClr val="bg2"/>
              </a:solidFill>
              <a:latin typeface="Aptos Black" panose="020B0004020202020204" pitchFamily="34" charset="0"/>
            </a:rPr>
            <a:pPr algn="ctr"/>
            <a:t>80</a:t>
          </a:fld>
          <a:endParaRPr lang="en-US" sz="2000" b="0" i="0" u="none" strike="noStrike">
            <a:solidFill>
              <a:schemeClr val="bg2"/>
            </a:solidFill>
            <a:latin typeface="Aptos Black" panose="020B0004020202020204" pitchFamily="34" charset="0"/>
          </a:endParaRPr>
        </a:p>
        <a:p>
          <a:pPr algn="ctr"/>
          <a:r>
            <a:rPr lang="en-US" sz="1200" b="0" i="0" u="none" strike="noStrike">
              <a:solidFill>
                <a:schemeClr val="bg2"/>
              </a:solidFill>
              <a:latin typeface="Aptos Black" panose="020B0004020202020204" pitchFamily="34" charset="0"/>
            </a:rPr>
            <a:t>No. of Scholarships</a:t>
          </a:r>
        </a:p>
      </xdr:txBody>
    </xdr:sp>
    <xdr:clientData/>
  </xdr:twoCellAnchor>
  <xdr:twoCellAnchor>
    <xdr:from>
      <xdr:col>19</xdr:col>
      <xdr:colOff>231322</xdr:colOff>
      <xdr:row>1</xdr:row>
      <xdr:rowOff>152852</xdr:rowOff>
    </xdr:from>
    <xdr:to>
      <xdr:col>25</xdr:col>
      <xdr:colOff>46522</xdr:colOff>
      <xdr:row>44</xdr:row>
      <xdr:rowOff>16565</xdr:rowOff>
    </xdr:to>
    <xdr:graphicFrame macro="">
      <xdr:nvGraphicFramePr>
        <xdr:cNvPr id="30" name="Chart 29">
          <a:extLst>
            <a:ext uri="{FF2B5EF4-FFF2-40B4-BE49-F238E27FC236}">
              <a16:creationId xmlns:a16="http://schemas.microsoft.com/office/drawing/2014/main" id="{5F6C65E4-72FE-4EE5-B0DE-0A0307CEE2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392207</xdr:colOff>
      <xdr:row>1</xdr:row>
      <xdr:rowOff>163935</xdr:rowOff>
    </xdr:from>
    <xdr:to>
      <xdr:col>19</xdr:col>
      <xdr:colOff>105683</xdr:colOff>
      <xdr:row>44</xdr:row>
      <xdr:rowOff>40821</xdr:rowOff>
    </xdr:to>
    <xdr:graphicFrame macro="">
      <xdr:nvGraphicFramePr>
        <xdr:cNvPr id="5" name="Chart 4">
          <a:extLst>
            <a:ext uri="{FF2B5EF4-FFF2-40B4-BE49-F238E27FC236}">
              <a16:creationId xmlns:a16="http://schemas.microsoft.com/office/drawing/2014/main" id="{CAFC19D0-D7D8-49ED-ABA2-6874EB495C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236901</xdr:colOff>
      <xdr:row>22</xdr:row>
      <xdr:rowOff>0</xdr:rowOff>
    </xdr:from>
    <xdr:to>
      <xdr:col>9</xdr:col>
      <xdr:colOff>459441</xdr:colOff>
      <xdr:row>43</xdr:row>
      <xdr:rowOff>3174</xdr:rowOff>
    </xdr:to>
    <xdr:graphicFrame macro="">
      <xdr:nvGraphicFramePr>
        <xdr:cNvPr id="6" name="Chart 5">
          <a:extLst>
            <a:ext uri="{FF2B5EF4-FFF2-40B4-BE49-F238E27FC236}">
              <a16:creationId xmlns:a16="http://schemas.microsoft.com/office/drawing/2014/main" id="{622D059A-04DC-4387-B847-D8D520203D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179294</xdr:colOff>
      <xdr:row>2</xdr:row>
      <xdr:rowOff>75266</xdr:rowOff>
    </xdr:from>
    <xdr:to>
      <xdr:col>19</xdr:col>
      <xdr:colOff>217768</xdr:colOff>
      <xdr:row>43</xdr:row>
      <xdr:rowOff>128120</xdr:rowOff>
    </xdr:to>
    <xdr:cxnSp macro="">
      <xdr:nvCxnSpPr>
        <xdr:cNvPr id="9" name="Straight Connector 8">
          <a:extLst>
            <a:ext uri="{FF2B5EF4-FFF2-40B4-BE49-F238E27FC236}">
              <a16:creationId xmlns:a16="http://schemas.microsoft.com/office/drawing/2014/main" id="{134F7FD3-892B-DEAC-213B-5463083201B1}"/>
            </a:ext>
          </a:extLst>
        </xdr:cNvPr>
        <xdr:cNvCxnSpPr/>
      </xdr:nvCxnSpPr>
      <xdr:spPr>
        <a:xfrm flipH="1">
          <a:off x="11676529" y="433854"/>
          <a:ext cx="38474" cy="7403913"/>
        </a:xfrm>
        <a:prstGeom prst="line">
          <a:avLst/>
        </a:prstGeom>
        <a:ln>
          <a:solidFill>
            <a:schemeClr val="tx1">
              <a:lumMod val="50000"/>
              <a:lumOff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238499</xdr:colOff>
      <xdr:row>20</xdr:row>
      <xdr:rowOff>164914</xdr:rowOff>
    </xdr:from>
    <xdr:to>
      <xdr:col>14</xdr:col>
      <xdr:colOff>235324</xdr:colOff>
      <xdr:row>20</xdr:row>
      <xdr:rowOff>168089</xdr:rowOff>
    </xdr:to>
    <xdr:cxnSp macro="">
      <xdr:nvCxnSpPr>
        <xdr:cNvPr id="11" name="Straight Connector 10">
          <a:extLst>
            <a:ext uri="{FF2B5EF4-FFF2-40B4-BE49-F238E27FC236}">
              <a16:creationId xmlns:a16="http://schemas.microsoft.com/office/drawing/2014/main" id="{7C2D3D25-EF0E-D62B-FCFD-9490BE7E175E}"/>
            </a:ext>
          </a:extLst>
        </xdr:cNvPr>
        <xdr:cNvCxnSpPr/>
      </xdr:nvCxnSpPr>
      <xdr:spPr>
        <a:xfrm>
          <a:off x="3264087" y="3750796"/>
          <a:ext cx="5442884" cy="3175"/>
        </a:xfrm>
        <a:prstGeom prst="line">
          <a:avLst/>
        </a:prstGeom>
        <a:ln>
          <a:solidFill>
            <a:schemeClr val="tx1">
              <a:lumMod val="50000"/>
              <a:lumOff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160058</xdr:colOff>
      <xdr:row>22</xdr:row>
      <xdr:rowOff>33617</xdr:rowOff>
    </xdr:from>
    <xdr:to>
      <xdr:col>14</xdr:col>
      <xdr:colOff>361763</xdr:colOff>
      <xdr:row>43</xdr:row>
      <xdr:rowOff>0</xdr:rowOff>
    </xdr:to>
    <xdr:graphicFrame macro="">
      <xdr:nvGraphicFramePr>
        <xdr:cNvPr id="16" name="Chart 15">
          <a:extLst>
            <a:ext uri="{FF2B5EF4-FFF2-40B4-BE49-F238E27FC236}">
              <a16:creationId xmlns:a16="http://schemas.microsoft.com/office/drawing/2014/main" id="{D12BD051-BC05-4C47-909C-3660269CB2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557119</xdr:colOff>
      <xdr:row>21</xdr:row>
      <xdr:rowOff>176120</xdr:rowOff>
    </xdr:from>
    <xdr:to>
      <xdr:col>9</xdr:col>
      <xdr:colOff>568325</xdr:colOff>
      <xdr:row>43</xdr:row>
      <xdr:rowOff>100853</xdr:rowOff>
    </xdr:to>
    <xdr:cxnSp macro="">
      <xdr:nvCxnSpPr>
        <xdr:cNvPr id="32" name="Straight Connector 31">
          <a:extLst>
            <a:ext uri="{FF2B5EF4-FFF2-40B4-BE49-F238E27FC236}">
              <a16:creationId xmlns:a16="http://schemas.microsoft.com/office/drawing/2014/main" id="{175A605C-9079-A5AA-5678-2DC75F665D0E}"/>
            </a:ext>
          </a:extLst>
        </xdr:cNvPr>
        <xdr:cNvCxnSpPr/>
      </xdr:nvCxnSpPr>
      <xdr:spPr>
        <a:xfrm>
          <a:off x="6003178" y="3941296"/>
          <a:ext cx="11206" cy="3869204"/>
        </a:xfrm>
        <a:prstGeom prst="line">
          <a:avLst/>
        </a:prstGeom>
        <a:ln>
          <a:solidFill>
            <a:schemeClr val="tx1">
              <a:lumMod val="50000"/>
              <a:lumOff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xdr:col>
      <xdr:colOff>337643</xdr:colOff>
      <xdr:row>13</xdr:row>
      <xdr:rowOff>117031</xdr:rowOff>
    </xdr:from>
    <xdr:to>
      <xdr:col>4</xdr:col>
      <xdr:colOff>341565</xdr:colOff>
      <xdr:row>19</xdr:row>
      <xdr:rowOff>25774</xdr:rowOff>
    </xdr:to>
    <mc:AlternateContent xmlns:mc="http://schemas.openxmlformats.org/markup-compatibility/2006" xmlns:a14="http://schemas.microsoft.com/office/drawing/2010/main">
      <mc:Choice Requires="a14">
        <xdr:graphicFrame macro="">
          <xdr:nvGraphicFramePr>
            <xdr:cNvPr id="36" name="Sex 1">
              <a:extLst>
                <a:ext uri="{FF2B5EF4-FFF2-40B4-BE49-F238E27FC236}">
                  <a16:creationId xmlns:a16="http://schemas.microsoft.com/office/drawing/2014/main" id="{1BEA984D-C05C-405E-84C7-2A41DA1AE35F}"/>
                </a:ext>
              </a:extLst>
            </xdr:cNvPr>
            <xdr:cNvGraphicFramePr/>
          </xdr:nvGraphicFramePr>
          <xdr:xfrm>
            <a:off x="0" y="0"/>
            <a:ext cx="0" cy="0"/>
          </xdr:xfrm>
          <a:graphic>
            <a:graphicData uri="http://schemas.microsoft.com/office/drawing/2010/slicer">
              <sle:slicer xmlns:sle="http://schemas.microsoft.com/office/drawing/2010/slicer" name="Sex 1"/>
            </a:graphicData>
          </a:graphic>
        </xdr:graphicFrame>
      </mc:Choice>
      <mc:Fallback xmlns="">
        <xdr:sp macro="" textlink="">
          <xdr:nvSpPr>
            <xdr:cNvPr id="0" name=""/>
            <xdr:cNvSpPr>
              <a:spLocks noTextEdit="1"/>
            </xdr:cNvSpPr>
          </xdr:nvSpPr>
          <xdr:spPr>
            <a:xfrm>
              <a:off x="939586" y="2447855"/>
              <a:ext cx="1822450" cy="9876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297703</xdr:colOff>
      <xdr:row>34</xdr:row>
      <xdr:rowOff>172944</xdr:rowOff>
    </xdr:from>
    <xdr:to>
      <xdr:col>4</xdr:col>
      <xdr:colOff>390885</xdr:colOff>
      <xdr:row>41</xdr:row>
      <xdr:rowOff>76761</xdr:rowOff>
    </xdr:to>
    <xdr:pic>
      <xdr:nvPicPr>
        <xdr:cNvPr id="39" name="Picture 38">
          <a:extLst>
            <a:ext uri="{FF2B5EF4-FFF2-40B4-BE49-F238E27FC236}">
              <a16:creationId xmlns:a16="http://schemas.microsoft.com/office/drawing/2014/main" id="{39318F52-61A9-D91B-027C-16775A5FCDB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02821" y="6268944"/>
          <a:ext cx="1902185" cy="1158876"/>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73BE7DB-DA10-48E7-B190-E1CBE96B7DE0}">
    <nsvFilter filterId="{0CFE7597-8BB1-4843-8006-B94405E5A7BA}" ref="A1:O365" tableId="0"/>
  </namedSheetView>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ong, Hieu M" refreshedDate="45938.432730439818" createdVersion="8" refreshedVersion="8" minRefreshableVersion="3" recordCount="364" xr:uid="{B5C62DB6-7ADA-459F-8992-A0CF8D4E75C4}">
  <cacheSource type="worksheet">
    <worksheetSource name="FA_2025"/>
  </cacheSource>
  <cacheFields count="15">
    <cacheField name="Name" numFmtId="0">
      <sharedItems count="110">
        <s v="Kojo, Asante"/>
        <s v="Kofi, Boateng"/>
        <s v="Ali, Nayeem"/>
        <s v="Sultana, Nusrat"/>
        <s v="Khan, Rafi"/>
        <s v="Kwame, Mensah"/>
        <s v="Suresh, Gupta"/>
        <s v="Priya, Sharma"/>
        <s v="Anil, Patel"/>
        <s v="Gurung, Suresh"/>
        <s v="Hossain, Imran"/>
        <s v="Phiri, Ruth"/>
        <s v="Funke, Ojo"/>
        <s v="Tunde, Balogun"/>
        <s v="Njeri, Ann"/>
        <s v="Anita, Patel"/>
        <s v="Olu, Adewale"/>
        <s v="Yetunde, Adeyemi"/>
        <s v="Kamau, Peter"/>
        <s v="Esi, Owusu"/>
        <s v="Rahman, Hasan"/>
        <s v="Amaka, Obi"/>
        <s v="Kiptoo, Daniel"/>
        <s v="Camila, Rocha"/>
        <s v="Gabriel, Santos"/>
        <s v="Ahmadi, Ladan"/>
        <s v="Chinedu, Okafor"/>
        <s v="Adhikari, Nisha"/>
        <s v="Achieng, Grace"/>
        <s v="Nguyen, Lan"/>
        <s v="Begum, Aisha"/>
        <s v="Raj, Kumar"/>
        <s v="Rahman, Fatima"/>
        <s v="Mwangi, Joseph"/>
        <s v="Akua, Addo"/>
        <s v="Chioma, Nwosu"/>
        <s v="Mwangi, Grace"/>
        <s v="Liu, Yan"/>
        <s v="Neha, Gupta"/>
        <s v="Divya, Singh"/>
        <s v="Ahmed, Saad"/>
        <s v="Wanjiru, Mary"/>
        <s v="Afia, Mensima"/>
        <s v="Ifeanyi, Eze"/>
        <s v="Ngozi, Okeke"/>
        <s v="Raza, Fahad"/>
        <s v="Atieno, Sharon"/>
        <s v="Ravi, Singh"/>
        <s v="Pooja, Rani"/>
        <s v="Carvalho, Bruno"/>
        <s v="Thapa, Richa"/>
        <s v="Islam, Tania"/>
        <s v="Chebet, Mercy"/>
        <s v="Ama, Nyarko"/>
        <s v="Ali, Nimra"/>
        <s v="Gan, Nomin"/>
        <s v="Lewandowska, Marta"/>
        <s v="Ana, Huaman"/>
        <s v="Rahimi, Arman"/>
        <s v="Mariana, Pereira"/>
        <s v="Ahmed, Karim"/>
        <s v="Delić, Selma"/>
        <s v="Amit, Sharma"/>
        <s v="Kwabena, Osei"/>
        <s v="Otieno, Brian"/>
        <s v="Adjovi, Jules"/>
        <s v="Nyerere, John"/>
        <s v="Ahmadi, Sina"/>
        <s v="Mohammadi, Ali"/>
        <s v="Shrestha, Prakash"/>
        <s v="Alemu, Selam"/>
        <s v="Mohammadi, Sara"/>
        <s v="Gurung, Sita"/>
        <s v="Tran, Huong"/>
        <s v="Sanchez, Adrian"/>
        <s v="Emeka, Obi"/>
        <s v="Do, Anh"/>
        <s v="Adwoa, Serwaa"/>
        <s v="Ivanova, Anna"/>
        <s v="Miguel, Lopez"/>
        <s v="Chirwa, Kelvin"/>
        <s v="Okello, Moses"/>
        <s v="Şahin, Can"/>
        <s v="Alimova, Aida"/>
        <s v="Wang, Mei"/>
        <s v="Bianchi, Davide"/>
        <s v="Nguyen, Bao"/>
        <s v="Yaw, Owusu"/>
        <s v="Wang, Jun"/>
        <s v="Hussain, Ali"/>
        <s v="Akter, Farzana"/>
        <s v="Jung, Hana"/>
        <s v="Bojang, Ousman"/>
        <s v="Lucia, Castro"/>
        <s v="Rafael, Souza"/>
        <s v="Yamamoto, Rina"/>
        <s v="Jose, Quispe"/>
        <s v="Putra, Andi"/>
        <s v="Karki, Dipesh"/>
        <s v="Shrestha, Anju"/>
        <s v="Karimi, Neda"/>
        <s v="Khan, Hamza"/>
        <s v="Thapa, Manoj"/>
        <s v="Othman, Imran"/>
        <s v="Lee, Jiwon"/>
        <s v="Jammeh, Mariama"/>
        <s v="Le, Mai"/>
        <s v="Shah, Usman"/>
        <s v="Bold, Saruul"/>
        <s v="Tanaka, Hiroshi"/>
      </sharedItems>
    </cacheField>
    <cacheField name="M Number" numFmtId="0">
      <sharedItems/>
    </cacheField>
    <cacheField name="SEVIS Number" numFmtId="0">
      <sharedItems/>
    </cacheField>
    <cacheField name="SEVIS Status" numFmtId="0">
      <sharedItems/>
    </cacheField>
    <cacheField name="Visa Type" numFmtId="0">
      <sharedItems count="1">
        <s v="F-1"/>
      </sharedItems>
    </cacheField>
    <cacheField name="Sex" numFmtId="0">
      <sharedItems count="2">
        <s v="Male"/>
        <s v="Female"/>
      </sharedItems>
    </cacheField>
    <cacheField name="Program of Study" numFmtId="0">
      <sharedItems count="33">
        <s v="Business Admin-STEM-MBA"/>
        <s v="Information Technology-MS"/>
        <s v="Music, Master of-MM"/>
        <s v="Accountancy-MACC"/>
        <s v="Educational Technology-MSED"/>
        <s v="Project Management-MS"/>
        <s v="Public Health-MPH"/>
        <s v="Business Admin-MBA"/>
        <s v="Dramatic Writing-MFA"/>
        <s v="Computer Science-MS"/>
        <s v="Counseling/Clin Mental Hlth-MS"/>
        <s v="Communication-MA"/>
        <s v="Plant Science-EP Dept-MS"/>
        <s v="Health Promo &amp; Wellness Mgt-MS"/>
        <s v="Psychology/Industrial Org-MS"/>
        <s v="Audiology-AUD"/>
        <s v="International Affairs-MIA"/>
        <s v="Biology-MS"/>
        <s v="Agriculture-MS"/>
        <s v="Special Ed/Autism Spectrm-MSED"/>
        <s v="Gry and Glg/Geospatial-MS"/>
        <s v="Chemistry-MS"/>
        <s v="Visual Studies-MFA"/>
        <s v="Kinesiology-MS"/>
        <s v="Professional Studies-MPS"/>
        <s v="Appld Secnd Lang Acquisn-MASLA"/>
        <s v="Natural &amp; Applied Sci-CS-MNAS"/>
        <s v="Materials Science-MS"/>
        <s v="Mathematics-MS"/>
        <s v="Edu Admin/Elementary-MSED"/>
        <s v="Secondery Ed/English-MSED"/>
        <s v="English-MA"/>
        <s v="Project Managemnt-Accelrted-MS"/>
      </sharedItems>
    </cacheField>
    <cacheField name="Graduate Assistantship" numFmtId="0">
      <sharedItems/>
    </cacheField>
    <cacheField name="Scholarship" numFmtId="0">
      <sharedItems/>
    </cacheField>
    <cacheField name="I-901 Fee" numFmtId="0">
      <sharedItems containsBlank="1" count="2">
        <s v="Yes"/>
        <m/>
      </sharedItems>
    </cacheField>
    <cacheField name="Visa" numFmtId="0">
      <sharedItems containsBlank="1"/>
    </cacheField>
    <cacheField name="Notes" numFmtId="0">
      <sharedItems containsBlank="1"/>
    </cacheField>
    <cacheField name="Country of Birth" numFmtId="0">
      <sharedItems count="33">
        <s v="Ghana"/>
        <s v="Bangladesh"/>
        <s v="India"/>
        <s v="Nepal"/>
        <s v="Zambia"/>
        <s v="Nigeria"/>
        <s v="Kenya"/>
        <s v="Brazil"/>
        <s v="Iran"/>
        <s v="Vietnam"/>
        <s v="Tanzania"/>
        <s v="China"/>
        <s v="Pakistan"/>
        <s v="Portugal"/>
        <s v="Mongolia"/>
        <s v="Poland"/>
        <s v="Peru"/>
        <s v="Bosnia and Herzegovina"/>
        <s v="Benin"/>
        <s v="Ethiopia"/>
        <s v="Spain"/>
        <s v="Russia"/>
        <s v="Mexico"/>
        <s v="Malawi"/>
        <s v="Uganda"/>
        <s v="Turkey"/>
        <s v="Kazakhstan"/>
        <s v="Italy"/>
        <s v="South Korea"/>
        <s v="Gambia, The"/>
        <s v="Japan"/>
        <s v="Indonesia"/>
        <s v="Malaysia"/>
      </sharedItems>
    </cacheField>
    <cacheField name="Country of Citizenship" numFmtId="0">
      <sharedItems count="33">
        <s v="Ghana"/>
        <s v="Bangladesh"/>
        <s v="India"/>
        <s v="Nepal"/>
        <s v="Zambia"/>
        <s v="Nigeria"/>
        <s v="Kenya"/>
        <s v="Brazil"/>
        <s v="Iran"/>
        <s v="Vietnam"/>
        <s v="Tanzania"/>
        <s v="China"/>
        <s v="Pakistan"/>
        <s v="Portugal"/>
        <s v="Mongolia"/>
        <s v="Poland"/>
        <s v="Peru"/>
        <s v="Bosnia and Herzegovina"/>
        <s v="Benin"/>
        <s v="Ethiopia"/>
        <s v="Spain"/>
        <s v="Russia"/>
        <s v="Mexico"/>
        <s v="Malawi"/>
        <s v="Uganda"/>
        <s v="Turkey"/>
        <s v="Kazakhstan"/>
        <s v="Italy"/>
        <s v="South Korea"/>
        <s v="Gambia, The"/>
        <s v="Japan"/>
        <s v="Indonesia"/>
        <s v="Malaysia"/>
      </sharedItems>
    </cacheField>
    <cacheField name="Stage Status" numFmtId="0">
      <sharedItems containsBlank="1"/>
    </cacheField>
  </cacheFields>
  <extLst>
    <ext xmlns:x14="http://schemas.microsoft.com/office/spreadsheetml/2009/9/main" uri="{725AE2AE-9491-48be-B2B4-4EB974FC3084}">
      <x14:pivotCacheDefinition pivotCacheId="37302713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ong, Hieu M" refreshedDate="45938.435786111113" createdVersion="8" refreshedVersion="8" minRefreshableVersion="3" recordCount="364" xr:uid="{EE446BE3-5023-47CE-966B-6C0B8764CE84}">
  <cacheSource type="worksheet">
    <worksheetSource name="Table1"/>
  </cacheSource>
  <cacheFields count="15">
    <cacheField name="Name" numFmtId="0">
      <sharedItems/>
    </cacheField>
    <cacheField name="M Number" numFmtId="0">
      <sharedItems/>
    </cacheField>
    <cacheField name="SEVIS Number" numFmtId="0">
      <sharedItems/>
    </cacheField>
    <cacheField name="SEVIS Status" numFmtId="0">
      <sharedItems/>
    </cacheField>
    <cacheField name="Visa Type" numFmtId="0">
      <sharedItems/>
    </cacheField>
    <cacheField name="Sex" numFmtId="0">
      <sharedItems count="2">
        <s v="Male"/>
        <s v="Female"/>
      </sharedItems>
    </cacheField>
    <cacheField name="Program of Study" numFmtId="0">
      <sharedItems count="33">
        <s v="Business Admin-STEM-MBA"/>
        <s v="Information Technology-MS"/>
        <s v="Music, Master of-MM"/>
        <s v="Accountancy-MACC"/>
        <s v="Educational Technology-MSED"/>
        <s v="Project Management-MS"/>
        <s v="Public Health-MPH"/>
        <s v="Business Admin-MBA"/>
        <s v="Dramatic Writing-MFA"/>
        <s v="Computer Science-MS"/>
        <s v="Counseling/Clin Mental Hlth-MS"/>
        <s v="Communication-MA"/>
        <s v="Plant Science-EP Dept-MS"/>
        <s v="Health Promo &amp; Wellness Mgt-MS"/>
        <s v="Psychology/Industrial Org-MS"/>
        <s v="Audiology-AUD"/>
        <s v="International Affairs-MIA"/>
        <s v="Biology-MS"/>
        <s v="Agriculture-MS"/>
        <s v="Special Ed/Autism Spectrm-MSED"/>
        <s v="Gry and Glg/Geospatial-MS"/>
        <s v="Chemistry-MS"/>
        <s v="Visual Studies-MFA"/>
        <s v="Kinesiology-MS"/>
        <s v="Professional Studies-MPS"/>
        <s v="Appld Secnd Lang Acquisn-MASLA"/>
        <s v="Natural &amp; Applied Sci-CS-MNAS"/>
        <s v="Materials Science-MS"/>
        <s v="Mathematics-MS"/>
        <s v="Edu Admin/Elementary-MSED"/>
        <s v="Secondery Ed/English-MSED"/>
        <s v="English-MA"/>
        <s v="Project Managemnt-Accelrted-MS"/>
      </sharedItems>
    </cacheField>
    <cacheField name="Graduate Assistantship" numFmtId="0">
      <sharedItems count="2">
        <s v="Yes"/>
        <s v="No"/>
      </sharedItems>
    </cacheField>
    <cacheField name="Scholarship" numFmtId="0">
      <sharedItems/>
    </cacheField>
    <cacheField name="I-901 Fee" numFmtId="0">
      <sharedItems containsBlank="1" count="2">
        <s v="Yes"/>
        <m/>
      </sharedItems>
    </cacheField>
    <cacheField name="Visa" numFmtId="0">
      <sharedItems containsDate="1" containsBlank="1" containsMixedTypes="1" minDate="2025-07-28T00:00:00" maxDate="2025-07-29T00:00:00"/>
    </cacheField>
    <cacheField name="Notes" numFmtId="0">
      <sharedItems containsBlank="1"/>
    </cacheField>
    <cacheField name="Country of Birth" numFmtId="0">
      <sharedItems/>
    </cacheField>
    <cacheField name="Country of Citizenship" numFmtId="0">
      <sharedItems/>
    </cacheField>
    <cacheField name="Stage Status" numFmtId="0">
      <sharedItems containsBlank="1"/>
    </cacheField>
  </cacheFields>
  <extLst>
    <ext xmlns:x14="http://schemas.microsoft.com/office/spreadsheetml/2009/9/main" uri="{725AE2AE-9491-48be-B2B4-4EB974FC3084}">
      <x14:pivotCacheDefinition pivotCacheId="90690015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ong, Hieu M" refreshedDate="45938.493765624997" createdVersion="8" refreshedVersion="8" minRefreshableVersion="3" recordCount="364" xr:uid="{0D4DB806-070B-4606-974F-E18115A41EC9}">
  <cacheSource type="worksheet">
    <worksheetSource name="Table3"/>
  </cacheSource>
  <cacheFields count="15">
    <cacheField name="Name" numFmtId="0">
      <sharedItems/>
    </cacheField>
    <cacheField name="M Number" numFmtId="0">
      <sharedItems/>
    </cacheField>
    <cacheField name="SEVIS Number" numFmtId="0">
      <sharedItems/>
    </cacheField>
    <cacheField name="SEVIS Status" numFmtId="0">
      <sharedItems/>
    </cacheField>
    <cacheField name="Visa Type" numFmtId="0">
      <sharedItems/>
    </cacheField>
    <cacheField name="Sex" numFmtId="0">
      <sharedItems/>
    </cacheField>
    <cacheField name="Program of Study" numFmtId="0">
      <sharedItems/>
    </cacheField>
    <cacheField name="Graduate Assistantship" numFmtId="0">
      <sharedItems/>
    </cacheField>
    <cacheField name="Scholarship" numFmtId="0">
      <sharedItems/>
    </cacheField>
    <cacheField name="I-901 Fee" numFmtId="0">
      <sharedItems containsBlank="1" count="2">
        <s v="Yes"/>
        <m/>
      </sharedItems>
    </cacheField>
    <cacheField name="Visa" numFmtId="0">
      <sharedItems containsBlank="1"/>
    </cacheField>
    <cacheField name="Notes" numFmtId="0">
      <sharedItems containsBlank="1"/>
    </cacheField>
    <cacheField name="Country of Birth" numFmtId="0">
      <sharedItems/>
    </cacheField>
    <cacheField name="Country of Citizenship" numFmtId="0">
      <sharedItems/>
    </cacheField>
    <cacheField name="Stage Status"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ong, Hieu M" refreshedDate="45938.539926157406" createdVersion="8" refreshedVersion="8" minRefreshableVersion="3" recordCount="365" xr:uid="{24EA03E5-4795-4A55-B657-436E9CBB5F0A}">
  <cacheSource type="worksheet">
    <worksheetSource ref="I1:I1048576" sheet="Table"/>
  </cacheSource>
  <cacheFields count="1">
    <cacheField name="Scholarship" numFmtId="0">
      <sharedItems containsBlank="1" count="4">
        <s v="No"/>
        <s v="MOGO"/>
        <s v="IPFW"/>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4">
  <r>
    <x v="0"/>
    <s v="M03000205"/>
    <s v="N0000000205"/>
    <s v="Initial"/>
    <x v="0"/>
    <x v="0"/>
    <x v="0"/>
    <s v="Yes"/>
    <s v="No"/>
    <x v="0"/>
    <s v="Yes"/>
    <m/>
    <x v="0"/>
    <x v="0"/>
    <s v="Pre Arrival"/>
  </r>
  <r>
    <x v="1"/>
    <s v="M03000348"/>
    <s v="N0000000348"/>
    <s v="Initial"/>
    <x v="0"/>
    <x v="0"/>
    <x v="1"/>
    <s v="No"/>
    <s v="No"/>
    <x v="1"/>
    <m/>
    <m/>
    <x v="0"/>
    <x v="0"/>
    <s v="Pre Arrival"/>
  </r>
  <r>
    <x v="2"/>
    <s v="M03000097"/>
    <s v="N0000000097"/>
    <s v="Initial"/>
    <x v="0"/>
    <x v="0"/>
    <x v="1"/>
    <s v="No"/>
    <s v="No"/>
    <x v="0"/>
    <s v="Yes"/>
    <s v="Enrolled"/>
    <x v="1"/>
    <x v="1"/>
    <s v="Pre Arrival"/>
  </r>
  <r>
    <x v="3"/>
    <s v="M03000024"/>
    <s v="N0000000024"/>
    <s v="Initial"/>
    <x v="0"/>
    <x v="1"/>
    <x v="2"/>
    <s v="No"/>
    <s v="MOGO"/>
    <x v="0"/>
    <m/>
    <m/>
    <x v="1"/>
    <x v="1"/>
    <s v="Pre Arrival"/>
  </r>
  <r>
    <x v="0"/>
    <s v="M03000020"/>
    <s v="N0000000020"/>
    <s v="Initial"/>
    <x v="0"/>
    <x v="0"/>
    <x v="3"/>
    <s v="No"/>
    <s v="No"/>
    <x v="1"/>
    <m/>
    <m/>
    <x v="0"/>
    <x v="0"/>
    <s v="Pre Arrival"/>
  </r>
  <r>
    <x v="4"/>
    <s v="M03000274"/>
    <s v="N0000000274"/>
    <s v="Initial"/>
    <x v="0"/>
    <x v="0"/>
    <x v="4"/>
    <s v="No"/>
    <s v="No"/>
    <x v="1"/>
    <m/>
    <m/>
    <x v="1"/>
    <x v="1"/>
    <s v="Pre Arrival"/>
  </r>
  <r>
    <x v="3"/>
    <s v="M03000016"/>
    <s v="N0000000016"/>
    <s v="Initial"/>
    <x v="0"/>
    <x v="1"/>
    <x v="5"/>
    <s v="No"/>
    <s v="MOGO"/>
    <x v="1"/>
    <m/>
    <m/>
    <x v="1"/>
    <x v="1"/>
    <s v="Pre Arrival"/>
  </r>
  <r>
    <x v="4"/>
    <s v="M03000212"/>
    <s v="N0000000212"/>
    <s v="Initial"/>
    <x v="0"/>
    <x v="0"/>
    <x v="6"/>
    <s v="No"/>
    <s v="No"/>
    <x v="1"/>
    <m/>
    <m/>
    <x v="1"/>
    <x v="1"/>
    <s v="Pre Arrival"/>
  </r>
  <r>
    <x v="5"/>
    <s v="M03000064"/>
    <s v="N0000000064"/>
    <s v="Initial"/>
    <x v="0"/>
    <x v="0"/>
    <x v="4"/>
    <s v="Yes"/>
    <s v="No"/>
    <x v="1"/>
    <m/>
    <m/>
    <x v="0"/>
    <x v="0"/>
    <s v="Pre Arrival"/>
  </r>
  <r>
    <x v="6"/>
    <s v="M03000195"/>
    <s v="N0000000195"/>
    <s v="Initial"/>
    <x v="0"/>
    <x v="0"/>
    <x v="7"/>
    <s v="No"/>
    <s v="No"/>
    <x v="1"/>
    <m/>
    <m/>
    <x v="2"/>
    <x v="2"/>
    <s v="Pre Arrival"/>
  </r>
  <r>
    <x v="7"/>
    <s v="M03000124"/>
    <s v="N0000000124"/>
    <s v="Initial"/>
    <x v="0"/>
    <x v="1"/>
    <x v="7"/>
    <s v="No"/>
    <s v="No"/>
    <x v="0"/>
    <m/>
    <s v="Emailed for Update"/>
    <x v="2"/>
    <x v="2"/>
    <s v="Pre Arrival"/>
  </r>
  <r>
    <x v="8"/>
    <s v="M03000216"/>
    <s v="N0000000216"/>
    <s v="Initial"/>
    <x v="0"/>
    <x v="0"/>
    <x v="8"/>
    <s v="No"/>
    <s v="MOGO"/>
    <x v="1"/>
    <m/>
    <m/>
    <x v="2"/>
    <x v="2"/>
    <s v="Pre Arrival"/>
  </r>
  <r>
    <x v="9"/>
    <s v="M03000089"/>
    <s v="N0000000089"/>
    <s v="Initial"/>
    <x v="0"/>
    <x v="0"/>
    <x v="9"/>
    <s v="No"/>
    <s v="MOGO"/>
    <x v="0"/>
    <m/>
    <s v="Deferred SP26"/>
    <x v="3"/>
    <x v="3"/>
    <s v="Pre Arrival"/>
  </r>
  <r>
    <x v="10"/>
    <s v="M03000093"/>
    <s v="N0000000093"/>
    <s v="Initial"/>
    <x v="0"/>
    <x v="0"/>
    <x v="7"/>
    <s v="Yes"/>
    <s v="No"/>
    <x v="0"/>
    <s v="Yes"/>
    <m/>
    <x v="1"/>
    <x v="1"/>
    <s v="Pre Arrival"/>
  </r>
  <r>
    <x v="11"/>
    <s v="M03000184"/>
    <s v="N0000000184"/>
    <s v="Initial"/>
    <x v="0"/>
    <x v="1"/>
    <x v="10"/>
    <s v="No"/>
    <s v="No"/>
    <x v="0"/>
    <s v="Yes"/>
    <s v="Transfer-Out"/>
    <x v="4"/>
    <x v="4"/>
    <s v="Pre Arrival"/>
  </r>
  <r>
    <x v="4"/>
    <s v="M03000022"/>
    <s v="N0000000022"/>
    <s v="Initial"/>
    <x v="0"/>
    <x v="0"/>
    <x v="6"/>
    <s v="Yes"/>
    <s v="No"/>
    <x v="1"/>
    <m/>
    <m/>
    <x v="1"/>
    <x v="1"/>
    <s v="Pre Arrival"/>
  </r>
  <r>
    <x v="12"/>
    <s v="M03000058"/>
    <s v="N0000000058"/>
    <s v="Initial"/>
    <x v="0"/>
    <x v="1"/>
    <x v="11"/>
    <s v="Yes"/>
    <s v="No"/>
    <x v="0"/>
    <m/>
    <m/>
    <x v="5"/>
    <x v="5"/>
    <s v="Pre Arrival"/>
  </r>
  <r>
    <x v="13"/>
    <s v="M03000257"/>
    <s v="N0000000257"/>
    <s v="Initial"/>
    <x v="0"/>
    <x v="0"/>
    <x v="12"/>
    <s v="No"/>
    <s v="No"/>
    <x v="1"/>
    <m/>
    <m/>
    <x v="5"/>
    <x v="5"/>
    <s v="Pre Arrival"/>
  </r>
  <r>
    <x v="14"/>
    <s v="M03000176"/>
    <s v="N0000000176"/>
    <s v="Initial"/>
    <x v="0"/>
    <x v="1"/>
    <x v="7"/>
    <s v="No"/>
    <s v="No"/>
    <x v="1"/>
    <m/>
    <m/>
    <x v="6"/>
    <x v="6"/>
    <s v="Pre Arrival"/>
  </r>
  <r>
    <x v="15"/>
    <s v="M03000296"/>
    <s v="N0000000296"/>
    <s v="Initial"/>
    <x v="0"/>
    <x v="1"/>
    <x v="13"/>
    <s v="No"/>
    <s v="MOGO"/>
    <x v="1"/>
    <m/>
    <m/>
    <x v="2"/>
    <x v="2"/>
    <s v="Pre Arrival"/>
  </r>
  <r>
    <x v="16"/>
    <s v="M03000305"/>
    <s v="N0000000305"/>
    <s v="Initial"/>
    <x v="0"/>
    <x v="0"/>
    <x v="14"/>
    <s v="Yes"/>
    <s v="No"/>
    <x v="0"/>
    <m/>
    <m/>
    <x v="5"/>
    <x v="5"/>
    <s v="Pre Arrival"/>
  </r>
  <r>
    <x v="17"/>
    <s v="M03000018"/>
    <s v="N0000000018"/>
    <s v="Initial"/>
    <x v="0"/>
    <x v="1"/>
    <x v="7"/>
    <s v="No"/>
    <s v="MOGO"/>
    <x v="1"/>
    <m/>
    <m/>
    <x v="5"/>
    <x v="5"/>
    <s v="Pre Arrival"/>
  </r>
  <r>
    <x v="18"/>
    <s v="M03000244"/>
    <s v="N0000000244"/>
    <s v="Initial"/>
    <x v="0"/>
    <x v="0"/>
    <x v="5"/>
    <s v="No"/>
    <s v="No"/>
    <x v="1"/>
    <m/>
    <m/>
    <x v="6"/>
    <x v="6"/>
    <s v="Pre Arrival"/>
  </r>
  <r>
    <x v="19"/>
    <s v="M03000007"/>
    <s v="N0000000007"/>
    <s v="Initial"/>
    <x v="0"/>
    <x v="1"/>
    <x v="7"/>
    <s v="No"/>
    <s v="No"/>
    <x v="0"/>
    <m/>
    <m/>
    <x v="0"/>
    <x v="0"/>
    <s v="Pre Arrival"/>
  </r>
  <r>
    <x v="20"/>
    <s v="M03000290"/>
    <s v="N0000000290"/>
    <s v="Initial"/>
    <x v="0"/>
    <x v="0"/>
    <x v="9"/>
    <s v="No"/>
    <s v="No"/>
    <x v="1"/>
    <m/>
    <m/>
    <x v="1"/>
    <x v="1"/>
    <s v="Pre Arrival"/>
  </r>
  <r>
    <x v="21"/>
    <s v="M03000234"/>
    <s v="N0000000234"/>
    <s v="Initial"/>
    <x v="0"/>
    <x v="1"/>
    <x v="15"/>
    <s v="Yes"/>
    <s v="No"/>
    <x v="0"/>
    <s v="Yes"/>
    <m/>
    <x v="5"/>
    <x v="5"/>
    <s v="Pre Arrival"/>
  </r>
  <r>
    <x v="22"/>
    <s v="M03000174"/>
    <s v="N0000000174"/>
    <s v="Initial"/>
    <x v="0"/>
    <x v="0"/>
    <x v="6"/>
    <s v="No"/>
    <s v="No"/>
    <x v="1"/>
    <m/>
    <m/>
    <x v="6"/>
    <x v="6"/>
    <s v="Pre Arrival"/>
  </r>
  <r>
    <x v="8"/>
    <s v="M03000320"/>
    <s v="N0000000320"/>
    <s v="Initial"/>
    <x v="0"/>
    <x v="0"/>
    <x v="7"/>
    <s v="No"/>
    <s v="No"/>
    <x v="1"/>
    <m/>
    <m/>
    <x v="2"/>
    <x v="2"/>
    <s v="Pre Arrival"/>
  </r>
  <r>
    <x v="23"/>
    <s v="M03000361"/>
    <s v="N0000000361"/>
    <s v="Initial"/>
    <x v="0"/>
    <x v="1"/>
    <x v="3"/>
    <s v="Yes"/>
    <s v="No"/>
    <x v="0"/>
    <s v="Yes"/>
    <m/>
    <x v="7"/>
    <x v="7"/>
    <s v="Pre Arrival"/>
  </r>
  <r>
    <x v="2"/>
    <s v="M03000196"/>
    <s v="N0000000196"/>
    <s v="Initial"/>
    <x v="0"/>
    <x v="0"/>
    <x v="9"/>
    <s v="No"/>
    <s v="No"/>
    <x v="1"/>
    <m/>
    <m/>
    <x v="1"/>
    <x v="1"/>
    <s v="Pre Arrival"/>
  </r>
  <r>
    <x v="24"/>
    <s v="M03000356"/>
    <s v="N0000000356"/>
    <s v="Initial"/>
    <x v="0"/>
    <x v="0"/>
    <x v="9"/>
    <s v="No"/>
    <s v="No"/>
    <x v="0"/>
    <s v="Yes"/>
    <m/>
    <x v="7"/>
    <x v="7"/>
    <s v="Pre Arrival"/>
  </r>
  <r>
    <x v="25"/>
    <s v="M03000050"/>
    <s v="N0000000050"/>
    <s v="Initial"/>
    <x v="0"/>
    <x v="1"/>
    <x v="4"/>
    <s v="No"/>
    <s v="No"/>
    <x v="1"/>
    <m/>
    <m/>
    <x v="8"/>
    <x v="8"/>
    <m/>
  </r>
  <r>
    <x v="17"/>
    <s v="M03000206"/>
    <s v="N0000000206"/>
    <s v="Initial"/>
    <x v="0"/>
    <x v="1"/>
    <x v="5"/>
    <s v="No"/>
    <s v="No"/>
    <x v="1"/>
    <m/>
    <m/>
    <x v="5"/>
    <x v="5"/>
    <s v="Pre Arrival"/>
  </r>
  <r>
    <x v="10"/>
    <s v="M03000005"/>
    <s v="N0000000005"/>
    <s v="Initial"/>
    <x v="0"/>
    <x v="0"/>
    <x v="5"/>
    <s v="No"/>
    <s v="No"/>
    <x v="1"/>
    <m/>
    <m/>
    <x v="1"/>
    <x v="1"/>
    <s v="Pre Arrival"/>
  </r>
  <r>
    <x v="26"/>
    <s v="M03000043"/>
    <s v="N0000000043"/>
    <s v="Initial"/>
    <x v="0"/>
    <x v="0"/>
    <x v="7"/>
    <s v="No"/>
    <s v="No"/>
    <x v="1"/>
    <m/>
    <m/>
    <x v="5"/>
    <x v="5"/>
    <s v="Pre Arrival"/>
  </r>
  <r>
    <x v="27"/>
    <s v="M03000325"/>
    <s v="N0000000325"/>
    <s v="Initial"/>
    <x v="0"/>
    <x v="1"/>
    <x v="16"/>
    <s v="No"/>
    <s v="No"/>
    <x v="1"/>
    <m/>
    <m/>
    <x v="3"/>
    <x v="3"/>
    <s v="Pre Arrival"/>
  </r>
  <r>
    <x v="28"/>
    <s v="M03000250"/>
    <s v="N0000000250"/>
    <s v="Initial"/>
    <x v="0"/>
    <x v="1"/>
    <x v="17"/>
    <s v="No"/>
    <s v="No"/>
    <x v="1"/>
    <m/>
    <m/>
    <x v="6"/>
    <x v="6"/>
    <s v="Pre Arrival"/>
  </r>
  <r>
    <x v="18"/>
    <s v="M03000214"/>
    <s v="N0000000214"/>
    <s v="Initial"/>
    <x v="0"/>
    <x v="0"/>
    <x v="9"/>
    <s v="No"/>
    <s v="MOGO"/>
    <x v="1"/>
    <m/>
    <m/>
    <x v="6"/>
    <x v="6"/>
    <s v="Pre Arrival"/>
  </r>
  <r>
    <x v="29"/>
    <s v="M03000088"/>
    <s v="N0000000088"/>
    <s v="Initial"/>
    <x v="0"/>
    <x v="1"/>
    <x v="7"/>
    <s v="No"/>
    <s v="No"/>
    <x v="0"/>
    <s v="Yes"/>
    <m/>
    <x v="9"/>
    <x v="9"/>
    <s v="Pre Arrival"/>
  </r>
  <r>
    <x v="30"/>
    <s v="M03000279"/>
    <s v="N0000000279"/>
    <s v="Initial"/>
    <x v="0"/>
    <x v="1"/>
    <x v="16"/>
    <s v="No"/>
    <s v="No"/>
    <x v="1"/>
    <m/>
    <m/>
    <x v="1"/>
    <x v="1"/>
    <s v="Pre Arrival"/>
  </r>
  <r>
    <x v="31"/>
    <s v="M03000067"/>
    <s v="N0000000067"/>
    <s v="Initial"/>
    <x v="0"/>
    <x v="0"/>
    <x v="9"/>
    <s v="No"/>
    <s v="MOGO"/>
    <x v="1"/>
    <m/>
    <m/>
    <x v="2"/>
    <x v="2"/>
    <s v="Pre Arrival"/>
  </r>
  <r>
    <x v="22"/>
    <s v="M03000340"/>
    <s v="N0000000340"/>
    <s v="Initial"/>
    <x v="0"/>
    <x v="0"/>
    <x v="7"/>
    <s v="Yes"/>
    <s v="No"/>
    <x v="0"/>
    <s v="Yes"/>
    <m/>
    <x v="6"/>
    <x v="6"/>
    <s v="Pre Arrival"/>
  </r>
  <r>
    <x v="8"/>
    <s v="M03000091"/>
    <s v="N0000000091"/>
    <s v="Initial"/>
    <x v="0"/>
    <x v="0"/>
    <x v="5"/>
    <s v="No"/>
    <s v="MOGO"/>
    <x v="1"/>
    <m/>
    <m/>
    <x v="2"/>
    <x v="2"/>
    <s v="Pre Arrival"/>
  </r>
  <r>
    <x v="28"/>
    <s v="M03000192"/>
    <s v="N0000000192"/>
    <s v="Initial"/>
    <x v="0"/>
    <x v="1"/>
    <x v="7"/>
    <s v="No"/>
    <s v="MOGO"/>
    <x v="1"/>
    <m/>
    <m/>
    <x v="6"/>
    <x v="6"/>
    <s v="Pre Arrival"/>
  </r>
  <r>
    <x v="32"/>
    <s v="M03000131"/>
    <s v="N0000000131"/>
    <s v="Initial"/>
    <x v="0"/>
    <x v="1"/>
    <x v="18"/>
    <s v="No"/>
    <s v="No"/>
    <x v="0"/>
    <m/>
    <m/>
    <x v="1"/>
    <x v="1"/>
    <s v="Pre Arrival"/>
  </r>
  <r>
    <x v="6"/>
    <s v="M03000326"/>
    <s v="N0000000326"/>
    <s v="Initial"/>
    <x v="0"/>
    <x v="0"/>
    <x v="5"/>
    <s v="No"/>
    <s v="No"/>
    <x v="1"/>
    <m/>
    <m/>
    <x v="2"/>
    <x v="2"/>
    <s v="Pre Arrival"/>
  </r>
  <r>
    <x v="33"/>
    <s v="M03000180"/>
    <s v="N0000000180"/>
    <s v="Initial"/>
    <x v="0"/>
    <x v="0"/>
    <x v="9"/>
    <s v="No"/>
    <s v="No"/>
    <x v="0"/>
    <m/>
    <m/>
    <x v="6"/>
    <x v="6"/>
    <s v="Pre Arrival"/>
  </r>
  <r>
    <x v="19"/>
    <s v="M03000017"/>
    <s v="N0000000017"/>
    <s v="Initial"/>
    <x v="0"/>
    <x v="1"/>
    <x v="4"/>
    <s v="No"/>
    <s v="No"/>
    <x v="1"/>
    <m/>
    <m/>
    <x v="0"/>
    <x v="0"/>
    <s v="Pre Arrival"/>
  </r>
  <r>
    <x v="8"/>
    <s v="M03000190"/>
    <s v="N0000000190"/>
    <s v="Initial"/>
    <x v="0"/>
    <x v="0"/>
    <x v="6"/>
    <s v="No"/>
    <s v="No"/>
    <x v="0"/>
    <m/>
    <m/>
    <x v="2"/>
    <x v="2"/>
    <s v="Pre Arrival"/>
  </r>
  <r>
    <x v="33"/>
    <s v="M03000239"/>
    <s v="N0000000239"/>
    <s v="Initial"/>
    <x v="0"/>
    <x v="0"/>
    <x v="7"/>
    <s v="No"/>
    <s v="No"/>
    <x v="1"/>
    <m/>
    <m/>
    <x v="6"/>
    <x v="6"/>
    <s v="Pre Arrival"/>
  </r>
  <r>
    <x v="13"/>
    <s v="M03000066"/>
    <s v="N0000000066"/>
    <s v="Initial"/>
    <x v="0"/>
    <x v="0"/>
    <x v="7"/>
    <s v="No"/>
    <s v="MOGO"/>
    <x v="0"/>
    <m/>
    <s v="Deferred SP26"/>
    <x v="5"/>
    <x v="5"/>
    <s v="Pre Arrival"/>
  </r>
  <r>
    <x v="34"/>
    <s v="M03000037"/>
    <s v="N0000000037"/>
    <s v="Initial"/>
    <x v="0"/>
    <x v="1"/>
    <x v="7"/>
    <s v="No"/>
    <s v="MOGO"/>
    <x v="0"/>
    <m/>
    <m/>
    <x v="0"/>
    <x v="0"/>
    <s v="Pre Arrival"/>
  </r>
  <r>
    <x v="35"/>
    <s v="M03000042"/>
    <s v="N0000000042"/>
    <s v="Initial"/>
    <x v="0"/>
    <x v="1"/>
    <x v="9"/>
    <s v="Yes"/>
    <s v="No"/>
    <x v="1"/>
    <m/>
    <m/>
    <x v="5"/>
    <x v="5"/>
    <s v="Pre Arrival"/>
  </r>
  <r>
    <x v="36"/>
    <s v="M03000128"/>
    <s v="N0000000128"/>
    <s v="Initial"/>
    <x v="0"/>
    <x v="1"/>
    <x v="16"/>
    <s v="No"/>
    <s v="No"/>
    <x v="0"/>
    <m/>
    <m/>
    <x v="10"/>
    <x v="10"/>
    <s v="Pre Arrival"/>
  </r>
  <r>
    <x v="37"/>
    <s v="M03000364"/>
    <s v="N0000000364"/>
    <s v="Initial"/>
    <x v="0"/>
    <x v="1"/>
    <x v="3"/>
    <s v="No"/>
    <s v="No"/>
    <x v="0"/>
    <s v="Yes"/>
    <m/>
    <x v="11"/>
    <x v="11"/>
    <s v="Pre Arrival"/>
  </r>
  <r>
    <x v="38"/>
    <s v="M03000197"/>
    <s v="N0000000197"/>
    <s v="Initial"/>
    <x v="0"/>
    <x v="1"/>
    <x v="5"/>
    <s v="No"/>
    <s v="MOGO/REFUND"/>
    <x v="1"/>
    <m/>
    <m/>
    <x v="2"/>
    <x v="2"/>
    <s v="Pre Arrival"/>
  </r>
  <r>
    <x v="14"/>
    <s v="M03000328"/>
    <s v="N0000000328"/>
    <s v="Initial"/>
    <x v="0"/>
    <x v="1"/>
    <x v="5"/>
    <s v="No"/>
    <s v="MOGO"/>
    <x v="0"/>
    <m/>
    <m/>
    <x v="6"/>
    <x v="6"/>
    <s v="Pre Arrival"/>
  </r>
  <r>
    <x v="39"/>
    <s v="M03000082"/>
    <s v="N0000000082"/>
    <s v="Initial"/>
    <x v="0"/>
    <x v="1"/>
    <x v="7"/>
    <s v="No"/>
    <s v="No"/>
    <x v="1"/>
    <m/>
    <m/>
    <x v="2"/>
    <x v="2"/>
    <s v="Pre Arrival"/>
  </r>
  <r>
    <x v="40"/>
    <s v="M03000327"/>
    <s v="N0000000327"/>
    <s v="Initial"/>
    <x v="0"/>
    <x v="0"/>
    <x v="7"/>
    <s v="No"/>
    <s v="MOGO"/>
    <x v="0"/>
    <s v="Yes"/>
    <s v="Enrolled"/>
    <x v="12"/>
    <x v="12"/>
    <s v="Pre Arrival"/>
  </r>
  <r>
    <x v="41"/>
    <s v="M03000057"/>
    <s v="N0000000057"/>
    <s v="Initial"/>
    <x v="0"/>
    <x v="1"/>
    <x v="2"/>
    <s v="No"/>
    <s v="No"/>
    <x v="1"/>
    <m/>
    <m/>
    <x v="6"/>
    <x v="6"/>
    <s v="Pre Arrival"/>
  </r>
  <r>
    <x v="16"/>
    <s v="M03000041"/>
    <s v="N0000000041"/>
    <s v="Initial"/>
    <x v="0"/>
    <x v="0"/>
    <x v="3"/>
    <s v="No"/>
    <s v="No"/>
    <x v="0"/>
    <m/>
    <m/>
    <x v="5"/>
    <x v="5"/>
    <s v="Pre Arrival"/>
  </r>
  <r>
    <x v="20"/>
    <s v="M03000076"/>
    <s v="N0000000076"/>
    <s v="Initial"/>
    <x v="0"/>
    <x v="0"/>
    <x v="5"/>
    <s v="No"/>
    <s v="No"/>
    <x v="0"/>
    <m/>
    <m/>
    <x v="1"/>
    <x v="1"/>
    <s v="Pre Arrival"/>
  </r>
  <r>
    <x v="42"/>
    <s v="M03000051"/>
    <s v="N0000000051"/>
    <s v="Initial"/>
    <x v="0"/>
    <x v="1"/>
    <x v="19"/>
    <s v="No"/>
    <s v="No"/>
    <x v="1"/>
    <m/>
    <m/>
    <x v="0"/>
    <x v="0"/>
    <s v="Pre Arrival"/>
  </r>
  <r>
    <x v="25"/>
    <s v="M03000120"/>
    <s v="N0000000120"/>
    <s v="Initial"/>
    <x v="0"/>
    <x v="1"/>
    <x v="7"/>
    <s v="Yes"/>
    <s v="No"/>
    <x v="0"/>
    <s v="Transfer"/>
    <m/>
    <x v="8"/>
    <x v="8"/>
    <s v="Pre Arrival"/>
  </r>
  <r>
    <x v="21"/>
    <s v="M03000010"/>
    <s v="N0000000010"/>
    <s v="Initial"/>
    <x v="0"/>
    <x v="1"/>
    <x v="6"/>
    <s v="No"/>
    <s v="No"/>
    <x v="1"/>
    <m/>
    <m/>
    <x v="5"/>
    <x v="5"/>
    <s v="Pre Arrival"/>
  </r>
  <r>
    <x v="26"/>
    <s v="M03000304"/>
    <s v="N0000000304"/>
    <s v="Initial"/>
    <x v="0"/>
    <x v="0"/>
    <x v="9"/>
    <s v="No"/>
    <s v="No"/>
    <x v="1"/>
    <m/>
    <m/>
    <x v="5"/>
    <x v="5"/>
    <s v="Pre Arrival"/>
  </r>
  <r>
    <x v="43"/>
    <s v="M03000251"/>
    <s v="N0000000251"/>
    <s v="Initial"/>
    <x v="0"/>
    <x v="0"/>
    <x v="9"/>
    <s v="Yes"/>
    <s v="No"/>
    <x v="1"/>
    <m/>
    <m/>
    <x v="5"/>
    <x v="5"/>
    <s v="Pre Arrival"/>
  </r>
  <r>
    <x v="44"/>
    <s v="M03000173"/>
    <s v="N0000000173"/>
    <s v="Initial"/>
    <x v="0"/>
    <x v="1"/>
    <x v="6"/>
    <s v="No"/>
    <s v="MOGO"/>
    <x v="0"/>
    <m/>
    <m/>
    <x v="5"/>
    <x v="5"/>
    <s v="Pre Arrival"/>
  </r>
  <r>
    <x v="16"/>
    <s v="M03000035"/>
    <s v="N0000000035"/>
    <s v="Initial"/>
    <x v="0"/>
    <x v="0"/>
    <x v="8"/>
    <s v="No"/>
    <s v="No"/>
    <x v="1"/>
    <m/>
    <m/>
    <x v="5"/>
    <x v="5"/>
    <s v="Pre Arrival"/>
  </r>
  <r>
    <x v="45"/>
    <s v="M03000142"/>
    <s v="N0000000142"/>
    <s v="Initial"/>
    <x v="0"/>
    <x v="0"/>
    <x v="5"/>
    <s v="No"/>
    <s v="No"/>
    <x v="0"/>
    <m/>
    <m/>
    <x v="12"/>
    <x v="12"/>
    <s v="Pre Arrival"/>
  </r>
  <r>
    <x v="46"/>
    <s v="M03000154"/>
    <s v="N0000000154"/>
    <s v="Initial"/>
    <x v="0"/>
    <x v="1"/>
    <x v="20"/>
    <s v="No"/>
    <s v="No"/>
    <x v="0"/>
    <m/>
    <m/>
    <x v="6"/>
    <x v="6"/>
    <s v="Pre Arrival"/>
  </r>
  <r>
    <x v="47"/>
    <s v="M03000132"/>
    <s v="N0000000132"/>
    <s v="Initial"/>
    <x v="0"/>
    <x v="0"/>
    <x v="21"/>
    <s v="No"/>
    <s v="No"/>
    <x v="1"/>
    <m/>
    <m/>
    <x v="2"/>
    <x v="2"/>
    <s v="Pre Arrival"/>
  </r>
  <r>
    <x v="21"/>
    <s v="M03000157"/>
    <s v="N0000000157"/>
    <s v="Initial"/>
    <x v="0"/>
    <x v="1"/>
    <x v="18"/>
    <s v="No"/>
    <s v="No"/>
    <x v="1"/>
    <m/>
    <m/>
    <x v="5"/>
    <x v="5"/>
    <s v="Pre Arrival"/>
  </r>
  <r>
    <x v="2"/>
    <s v="M03000314"/>
    <s v="N0000000314"/>
    <s v="Initial"/>
    <x v="0"/>
    <x v="0"/>
    <x v="9"/>
    <s v="No"/>
    <s v="MOGO"/>
    <x v="0"/>
    <m/>
    <m/>
    <x v="1"/>
    <x v="1"/>
    <s v="Pre Arrival"/>
  </r>
  <r>
    <x v="48"/>
    <s v="M03000011"/>
    <s v="N0000000011"/>
    <s v="Initial"/>
    <x v="0"/>
    <x v="1"/>
    <x v="5"/>
    <s v="No"/>
    <s v="MOGO"/>
    <x v="1"/>
    <m/>
    <m/>
    <x v="2"/>
    <x v="2"/>
    <s v="Pre Arrival"/>
  </r>
  <r>
    <x v="49"/>
    <s v="M03000357"/>
    <s v="N0000000357"/>
    <s v="Initial"/>
    <x v="0"/>
    <x v="0"/>
    <x v="6"/>
    <s v="No"/>
    <s v="No"/>
    <x v="0"/>
    <s v="Yes"/>
    <m/>
    <x v="13"/>
    <x v="13"/>
    <s v="Pre Arrival"/>
  </r>
  <r>
    <x v="16"/>
    <s v="M03000254"/>
    <s v="N0000000254"/>
    <s v="Initial"/>
    <x v="0"/>
    <x v="0"/>
    <x v="1"/>
    <s v="No"/>
    <s v="No"/>
    <x v="1"/>
    <m/>
    <m/>
    <x v="5"/>
    <x v="5"/>
    <s v="Pre Arrival"/>
  </r>
  <r>
    <x v="50"/>
    <s v="M03000126"/>
    <s v="N0000000126"/>
    <s v="Initial"/>
    <x v="0"/>
    <x v="1"/>
    <x v="13"/>
    <s v="No"/>
    <s v="MOGO"/>
    <x v="0"/>
    <m/>
    <m/>
    <x v="3"/>
    <x v="3"/>
    <s v="Pre Arrival"/>
  </r>
  <r>
    <x v="38"/>
    <s v="M03000283"/>
    <s v="N0000000283"/>
    <s v="Initial"/>
    <x v="0"/>
    <x v="1"/>
    <x v="9"/>
    <s v="No"/>
    <s v="MOGO"/>
    <x v="0"/>
    <s v="Yes"/>
    <m/>
    <x v="2"/>
    <x v="2"/>
    <s v="Pre Arrival"/>
  </r>
  <r>
    <x v="42"/>
    <s v="M03000095"/>
    <s v="N0000000095"/>
    <s v="Initial"/>
    <x v="0"/>
    <x v="1"/>
    <x v="9"/>
    <s v="Yes"/>
    <s v="No"/>
    <x v="1"/>
    <m/>
    <m/>
    <x v="0"/>
    <x v="0"/>
    <s v="Pre Arrival"/>
  </r>
  <r>
    <x v="51"/>
    <s v="M03000054"/>
    <s v="N0000000054"/>
    <s v="Initial"/>
    <x v="0"/>
    <x v="1"/>
    <x v="7"/>
    <s v="Yes"/>
    <s v="No"/>
    <x v="1"/>
    <m/>
    <m/>
    <x v="1"/>
    <x v="1"/>
    <s v="Pre Arrival"/>
  </r>
  <r>
    <x v="6"/>
    <s v="M03000343"/>
    <s v="N0000000343"/>
    <s v="Initial"/>
    <x v="0"/>
    <x v="0"/>
    <x v="5"/>
    <s v="No"/>
    <s v="No"/>
    <x v="0"/>
    <s v="Yes"/>
    <s v="Enrolled"/>
    <x v="2"/>
    <x v="2"/>
    <s v="Pre Arrival"/>
  </r>
  <r>
    <x v="52"/>
    <s v="M03000163"/>
    <s v="N0000000163"/>
    <s v="Initial"/>
    <x v="0"/>
    <x v="1"/>
    <x v="7"/>
    <s v="No"/>
    <s v="No"/>
    <x v="0"/>
    <s v="Yes"/>
    <m/>
    <x v="6"/>
    <x v="6"/>
    <s v="Pre Arrival"/>
  </r>
  <r>
    <x v="13"/>
    <s v="M03000303"/>
    <s v="N0000000303"/>
    <s v="Initial"/>
    <x v="0"/>
    <x v="0"/>
    <x v="22"/>
    <s v="No"/>
    <s v="No"/>
    <x v="1"/>
    <m/>
    <m/>
    <x v="5"/>
    <x v="5"/>
    <s v="Pre Arrival"/>
  </r>
  <r>
    <x v="53"/>
    <s v="M03000228"/>
    <s v="N0000000228"/>
    <s v="Initial"/>
    <x v="0"/>
    <x v="1"/>
    <x v="21"/>
    <s v="No"/>
    <s v="No"/>
    <x v="1"/>
    <m/>
    <m/>
    <x v="0"/>
    <x v="0"/>
    <s v="Pre Arrival"/>
  </r>
  <r>
    <x v="10"/>
    <s v="M03000210"/>
    <s v="N0000000210"/>
    <s v="Initial"/>
    <x v="0"/>
    <x v="0"/>
    <x v="7"/>
    <s v="No"/>
    <s v="No"/>
    <x v="1"/>
    <m/>
    <m/>
    <x v="1"/>
    <x v="1"/>
    <s v="Pre Arrival"/>
  </r>
  <r>
    <x v="17"/>
    <s v="M03000027"/>
    <s v="N0000000027"/>
    <s v="Initial"/>
    <x v="0"/>
    <x v="1"/>
    <x v="7"/>
    <s v="Yes"/>
    <s v="No"/>
    <x v="1"/>
    <m/>
    <m/>
    <x v="5"/>
    <x v="5"/>
    <s v="Pre Arrival"/>
  </r>
  <r>
    <x v="54"/>
    <s v="M03000146"/>
    <s v="N0000000146"/>
    <s v="Initial"/>
    <x v="0"/>
    <x v="1"/>
    <x v="7"/>
    <s v="No"/>
    <s v="No"/>
    <x v="0"/>
    <s v="Yes"/>
    <m/>
    <x v="12"/>
    <x v="12"/>
    <s v="Pre Arrival"/>
  </r>
  <r>
    <x v="16"/>
    <s v="M03000019"/>
    <s v="N0000000019"/>
    <s v="Initial"/>
    <x v="0"/>
    <x v="0"/>
    <x v="7"/>
    <s v="No"/>
    <s v="No"/>
    <x v="1"/>
    <m/>
    <m/>
    <x v="5"/>
    <x v="5"/>
    <s v="Pre Arrival"/>
  </r>
  <r>
    <x v="16"/>
    <s v="M03000258"/>
    <s v="N0000000258"/>
    <s v="Initial"/>
    <x v="0"/>
    <x v="0"/>
    <x v="4"/>
    <s v="No"/>
    <s v="No"/>
    <x v="1"/>
    <m/>
    <m/>
    <x v="5"/>
    <x v="5"/>
    <s v="Pre Arrival"/>
  </r>
  <r>
    <x v="55"/>
    <s v="M03000106"/>
    <s v="N0000000106"/>
    <s v="Initial"/>
    <x v="0"/>
    <x v="1"/>
    <x v="5"/>
    <s v="No"/>
    <s v="IPFW"/>
    <x v="0"/>
    <s v="Yes"/>
    <m/>
    <x v="14"/>
    <x v="14"/>
    <s v="Pre Arrival"/>
  </r>
  <r>
    <x v="47"/>
    <s v="M03000341"/>
    <s v="N0000000341"/>
    <s v="Initial"/>
    <x v="0"/>
    <x v="0"/>
    <x v="6"/>
    <s v="No"/>
    <s v="No"/>
    <x v="1"/>
    <m/>
    <m/>
    <x v="2"/>
    <x v="2"/>
    <s v="Pre Arrival"/>
  </r>
  <r>
    <x v="22"/>
    <s v="M03000276"/>
    <s v="N0000000276"/>
    <s v="Initial"/>
    <x v="0"/>
    <x v="0"/>
    <x v="6"/>
    <s v="Yes"/>
    <s v="No"/>
    <x v="1"/>
    <m/>
    <m/>
    <x v="6"/>
    <x v="6"/>
    <s v="Pre Arrival"/>
  </r>
  <r>
    <x v="47"/>
    <s v="M03000169"/>
    <s v="N0000000169"/>
    <s v="Initial"/>
    <x v="0"/>
    <x v="0"/>
    <x v="5"/>
    <s v="No"/>
    <s v="No"/>
    <x v="1"/>
    <m/>
    <m/>
    <x v="2"/>
    <x v="2"/>
    <s v="Pre Arrival"/>
  </r>
  <r>
    <x v="56"/>
    <s v="M03000363"/>
    <s v="N0000000363"/>
    <s v="Initial"/>
    <x v="0"/>
    <x v="1"/>
    <x v="11"/>
    <s v="No"/>
    <s v="No"/>
    <x v="0"/>
    <s v="Yes"/>
    <m/>
    <x v="15"/>
    <x v="15"/>
    <s v="Pre Arrival"/>
  </r>
  <r>
    <x v="1"/>
    <s v="M03000262"/>
    <s v="N0000000262"/>
    <s v="Initial"/>
    <x v="0"/>
    <x v="0"/>
    <x v="16"/>
    <s v="Yes"/>
    <s v="No"/>
    <x v="0"/>
    <s v="Yes"/>
    <m/>
    <x v="0"/>
    <x v="0"/>
    <s v="Pre Arrival"/>
  </r>
  <r>
    <x v="57"/>
    <s v="M03000280"/>
    <s v="N0000000280"/>
    <s v="Initial"/>
    <x v="0"/>
    <x v="1"/>
    <x v="1"/>
    <s v="No"/>
    <s v="MOGO"/>
    <x v="1"/>
    <m/>
    <m/>
    <x v="16"/>
    <x v="16"/>
    <s v="Pre Arrival"/>
  </r>
  <r>
    <x v="17"/>
    <s v="M03000105"/>
    <s v="N0000000105"/>
    <s v="Initial"/>
    <x v="0"/>
    <x v="1"/>
    <x v="9"/>
    <s v="No"/>
    <s v="No"/>
    <x v="1"/>
    <m/>
    <m/>
    <x v="5"/>
    <x v="5"/>
    <s v="Pre Arrival"/>
  </r>
  <r>
    <x v="58"/>
    <s v="M03000046"/>
    <s v="N0000000046"/>
    <s v="Initial"/>
    <x v="0"/>
    <x v="0"/>
    <x v="7"/>
    <s v="No"/>
    <s v="No"/>
    <x v="1"/>
    <m/>
    <m/>
    <x v="8"/>
    <x v="8"/>
    <s v="Pre Arrival"/>
  </r>
  <r>
    <x v="59"/>
    <s v="M03000001"/>
    <s v="N0000000001"/>
    <s v="Initial"/>
    <x v="0"/>
    <x v="1"/>
    <x v="9"/>
    <s v="Yes"/>
    <s v="No"/>
    <x v="0"/>
    <s v="Yes"/>
    <m/>
    <x v="7"/>
    <x v="7"/>
    <s v="Pre Arrival"/>
  </r>
  <r>
    <x v="21"/>
    <s v="M03000099"/>
    <s v="N0000000099"/>
    <s v="Initial"/>
    <x v="0"/>
    <x v="1"/>
    <x v="23"/>
    <s v="No"/>
    <s v="No"/>
    <x v="1"/>
    <m/>
    <m/>
    <x v="5"/>
    <x v="5"/>
    <s v="Pre Arrival"/>
  </r>
  <r>
    <x v="60"/>
    <s v="M03000147"/>
    <s v="N0000000147"/>
    <s v="Initial"/>
    <x v="0"/>
    <x v="0"/>
    <x v="7"/>
    <s v="No"/>
    <s v="No"/>
    <x v="1"/>
    <m/>
    <m/>
    <x v="1"/>
    <x v="1"/>
    <s v="Pre Arrival"/>
  </r>
  <r>
    <x v="54"/>
    <s v="M03000070"/>
    <s v="N0000000070"/>
    <s v="Initial"/>
    <x v="0"/>
    <x v="1"/>
    <x v="22"/>
    <s v="Yes"/>
    <s v="No"/>
    <x v="1"/>
    <m/>
    <m/>
    <x v="12"/>
    <x v="12"/>
    <s v="Pre Arrival"/>
  </r>
  <r>
    <x v="61"/>
    <s v="M03000160"/>
    <s v="N0000000160"/>
    <s v="Initial"/>
    <x v="0"/>
    <x v="1"/>
    <x v="7"/>
    <s v="Yes"/>
    <s v="No"/>
    <x v="1"/>
    <s v="Yes"/>
    <m/>
    <x v="17"/>
    <x v="17"/>
    <m/>
  </r>
  <r>
    <x v="2"/>
    <s v="M03000319"/>
    <s v="N0000000319"/>
    <s v="Initial"/>
    <x v="0"/>
    <x v="0"/>
    <x v="9"/>
    <s v="No"/>
    <s v="No"/>
    <x v="1"/>
    <m/>
    <m/>
    <x v="1"/>
    <x v="1"/>
    <s v="Pre Arrival"/>
  </r>
  <r>
    <x v="13"/>
    <s v="M03000112"/>
    <s v="N0000000112"/>
    <s v="Initial"/>
    <x v="0"/>
    <x v="0"/>
    <x v="7"/>
    <s v="No"/>
    <s v="No"/>
    <x v="1"/>
    <m/>
    <m/>
    <x v="5"/>
    <x v="5"/>
    <s v="Pre Arrival"/>
  </r>
  <r>
    <x v="51"/>
    <s v="M03000029"/>
    <s v="N0000000029"/>
    <s v="Initial"/>
    <x v="0"/>
    <x v="1"/>
    <x v="24"/>
    <s v="No"/>
    <s v="No"/>
    <x v="1"/>
    <m/>
    <m/>
    <x v="1"/>
    <x v="1"/>
    <s v="Pre Arrival"/>
  </r>
  <r>
    <x v="62"/>
    <s v="M03000321"/>
    <s v="N0000000321"/>
    <s v="Initial"/>
    <x v="0"/>
    <x v="0"/>
    <x v="4"/>
    <s v="No"/>
    <s v="No"/>
    <x v="1"/>
    <m/>
    <m/>
    <x v="2"/>
    <x v="2"/>
    <s v="Pre Arrival"/>
  </r>
  <r>
    <x v="12"/>
    <s v="M03000264"/>
    <s v="N0000000264"/>
    <s v="Initial"/>
    <x v="0"/>
    <x v="1"/>
    <x v="20"/>
    <s v="No"/>
    <s v="No"/>
    <x v="1"/>
    <m/>
    <m/>
    <x v="5"/>
    <x v="5"/>
    <s v="Pre Arrival"/>
  </r>
  <r>
    <x v="63"/>
    <s v="M03000048"/>
    <s v="N0000000048"/>
    <s v="Initial"/>
    <x v="0"/>
    <x v="0"/>
    <x v="7"/>
    <s v="Yes"/>
    <s v="No"/>
    <x v="0"/>
    <s v="Yes"/>
    <m/>
    <x v="0"/>
    <x v="0"/>
    <s v="Pre Arrival"/>
  </r>
  <r>
    <x v="20"/>
    <s v="M03000293"/>
    <s v="N0000000293"/>
    <s v="Initial"/>
    <x v="0"/>
    <x v="0"/>
    <x v="9"/>
    <s v="No"/>
    <s v="MOGO"/>
    <x v="0"/>
    <m/>
    <m/>
    <x v="1"/>
    <x v="1"/>
    <s v="Pre Arrival"/>
  </r>
  <r>
    <x v="64"/>
    <s v="M03000342"/>
    <s v="N0000000342"/>
    <s v="Initial"/>
    <x v="0"/>
    <x v="0"/>
    <x v="21"/>
    <s v="No"/>
    <s v="No"/>
    <x v="1"/>
    <m/>
    <m/>
    <x v="6"/>
    <x v="6"/>
    <s v="Pre Arrival"/>
  </r>
  <r>
    <x v="65"/>
    <s v="M03000118"/>
    <s v="N0000000118"/>
    <s v="Initial"/>
    <x v="0"/>
    <x v="0"/>
    <x v="5"/>
    <s v="Yes"/>
    <s v="No"/>
    <x v="0"/>
    <s v="Yes"/>
    <m/>
    <x v="18"/>
    <x v="18"/>
    <s v="Pre Arrival"/>
  </r>
  <r>
    <x v="13"/>
    <s v="M03000062"/>
    <s v="N0000000062"/>
    <s v="Initial"/>
    <x v="0"/>
    <x v="0"/>
    <x v="9"/>
    <s v="No"/>
    <s v="No"/>
    <x v="1"/>
    <m/>
    <m/>
    <x v="5"/>
    <x v="5"/>
    <s v="Pre Arrival"/>
  </r>
  <r>
    <x v="47"/>
    <s v="M03000125"/>
    <s v="N0000000125"/>
    <s v="Initial"/>
    <x v="0"/>
    <x v="0"/>
    <x v="9"/>
    <s v="No"/>
    <s v="MOGO/REFUND"/>
    <x v="1"/>
    <m/>
    <m/>
    <x v="2"/>
    <x v="2"/>
    <s v="Pre Arrival"/>
  </r>
  <r>
    <x v="27"/>
    <s v="M03000015"/>
    <s v="N0000000015"/>
    <s v="Initial"/>
    <x v="0"/>
    <x v="1"/>
    <x v="9"/>
    <s v="No"/>
    <s v="No"/>
    <x v="1"/>
    <m/>
    <m/>
    <x v="3"/>
    <x v="3"/>
    <s v="Pre Arrival"/>
  </r>
  <r>
    <x v="46"/>
    <s v="M03000252"/>
    <s v="N0000000252"/>
    <s v="Initial"/>
    <x v="0"/>
    <x v="1"/>
    <x v="5"/>
    <s v="No"/>
    <s v="MOGO"/>
    <x v="1"/>
    <m/>
    <m/>
    <x v="6"/>
    <x v="6"/>
    <s v="Pre Arrival"/>
  </r>
  <r>
    <x v="31"/>
    <s v="M03000310"/>
    <s v="N0000000310"/>
    <s v="Initial"/>
    <x v="0"/>
    <x v="0"/>
    <x v="9"/>
    <s v="No"/>
    <s v="No"/>
    <x v="0"/>
    <s v="Yes"/>
    <s v="Enrolled"/>
    <x v="2"/>
    <x v="2"/>
    <s v="Pre Arrival"/>
  </r>
  <r>
    <x v="48"/>
    <s v="M03000151"/>
    <s v="N0000000151"/>
    <s v="Initial"/>
    <x v="0"/>
    <x v="1"/>
    <x v="3"/>
    <s v="No"/>
    <s v="No"/>
    <x v="1"/>
    <m/>
    <m/>
    <x v="2"/>
    <x v="2"/>
    <s v="Pre Arrival"/>
  </r>
  <r>
    <x v="32"/>
    <s v="M03000307"/>
    <s v="N0000000307"/>
    <s v="Initial"/>
    <x v="0"/>
    <x v="1"/>
    <x v="16"/>
    <s v="No"/>
    <s v="No"/>
    <x v="1"/>
    <m/>
    <m/>
    <x v="1"/>
    <x v="1"/>
    <s v="Pre Arrival"/>
  </r>
  <r>
    <x v="58"/>
    <s v="M03000275"/>
    <s v="N0000000275"/>
    <s v="Initial"/>
    <x v="0"/>
    <x v="0"/>
    <x v="9"/>
    <s v="No"/>
    <s v="No"/>
    <x v="1"/>
    <m/>
    <m/>
    <x v="8"/>
    <x v="8"/>
    <s v="Pre Arrival"/>
  </r>
  <r>
    <x v="63"/>
    <s v="M03000115"/>
    <s v="N0000000115"/>
    <s v="Initial"/>
    <x v="0"/>
    <x v="0"/>
    <x v="5"/>
    <s v="No"/>
    <s v="No"/>
    <x v="1"/>
    <m/>
    <m/>
    <x v="0"/>
    <x v="0"/>
    <s v="Pre Arrival"/>
  </r>
  <r>
    <x v="66"/>
    <s v="M03000339"/>
    <s v="N0000000339"/>
    <s v="Initial"/>
    <x v="0"/>
    <x v="0"/>
    <x v="1"/>
    <s v="No"/>
    <s v="No"/>
    <x v="1"/>
    <m/>
    <m/>
    <x v="10"/>
    <x v="10"/>
    <s v="Pre Arrival"/>
  </r>
  <r>
    <x v="67"/>
    <s v="M03000092"/>
    <s v="N0000000092"/>
    <s v="Initial"/>
    <x v="0"/>
    <x v="0"/>
    <x v="9"/>
    <s v="No"/>
    <s v="No"/>
    <x v="1"/>
    <m/>
    <m/>
    <x v="8"/>
    <x v="8"/>
    <s v="Pre Arrival"/>
  </r>
  <r>
    <x v="68"/>
    <s v="M03000100"/>
    <s v="N0000000100"/>
    <s v="Initial"/>
    <x v="0"/>
    <x v="0"/>
    <x v="4"/>
    <s v="Yes"/>
    <s v="No"/>
    <x v="0"/>
    <m/>
    <m/>
    <x v="8"/>
    <x v="8"/>
    <s v="Pre Arrival"/>
  </r>
  <r>
    <x v="69"/>
    <s v="M03000331"/>
    <s v="N0000000331"/>
    <s v="Initial"/>
    <x v="0"/>
    <x v="0"/>
    <x v="11"/>
    <s v="Yes"/>
    <s v="No"/>
    <x v="1"/>
    <m/>
    <m/>
    <x v="3"/>
    <x v="3"/>
    <s v="Pre Arrival"/>
  </r>
  <r>
    <x v="47"/>
    <s v="M03000333"/>
    <s v="N0000000333"/>
    <s v="Initial"/>
    <x v="0"/>
    <x v="0"/>
    <x v="5"/>
    <s v="No"/>
    <s v="No"/>
    <x v="0"/>
    <m/>
    <s v="Emailed for Update"/>
    <x v="2"/>
    <x v="2"/>
    <s v="Pre Arrival"/>
  </r>
  <r>
    <x v="2"/>
    <s v="M03000292"/>
    <s v="N0000000292"/>
    <s v="Initial"/>
    <x v="0"/>
    <x v="0"/>
    <x v="14"/>
    <s v="Yes"/>
    <s v="No"/>
    <x v="0"/>
    <s v="Yes"/>
    <m/>
    <x v="1"/>
    <x v="1"/>
    <s v="Pre Arrival"/>
  </r>
  <r>
    <x v="17"/>
    <s v="M03000199"/>
    <s v="N0000000199"/>
    <s v="Initial"/>
    <x v="0"/>
    <x v="1"/>
    <x v="21"/>
    <s v="No"/>
    <s v="No"/>
    <x v="1"/>
    <m/>
    <m/>
    <x v="5"/>
    <x v="5"/>
    <s v="Pre Arrival"/>
  </r>
  <r>
    <x v="32"/>
    <s v="M03000025"/>
    <s v="N0000000025"/>
    <s v="Initial"/>
    <x v="0"/>
    <x v="1"/>
    <x v="25"/>
    <s v="No"/>
    <s v="No"/>
    <x v="1"/>
    <m/>
    <m/>
    <x v="1"/>
    <x v="1"/>
    <s v="Pre Arrival"/>
  </r>
  <r>
    <x v="41"/>
    <s v="M03000298"/>
    <s v="N0000000298"/>
    <s v="Initial"/>
    <x v="0"/>
    <x v="1"/>
    <x v="23"/>
    <s v="No"/>
    <s v="MOGO"/>
    <x v="0"/>
    <s v="Denied"/>
    <m/>
    <x v="6"/>
    <x v="6"/>
    <s v="Pre Arrival"/>
  </r>
  <r>
    <x v="46"/>
    <s v="M03000217"/>
    <s v="N0000000217"/>
    <s v="Initial"/>
    <x v="0"/>
    <x v="1"/>
    <x v="7"/>
    <s v="No"/>
    <s v="No"/>
    <x v="1"/>
    <m/>
    <m/>
    <x v="6"/>
    <x v="6"/>
    <s v="Pre Arrival"/>
  </r>
  <r>
    <x v="70"/>
    <s v="M03000344"/>
    <s v="N0000000344"/>
    <s v="Initial"/>
    <x v="0"/>
    <x v="1"/>
    <x v="16"/>
    <s v="No"/>
    <s v="MOGO"/>
    <x v="0"/>
    <m/>
    <m/>
    <x v="19"/>
    <x v="19"/>
    <s v="Pre Arrival"/>
  </r>
  <r>
    <x v="71"/>
    <s v="M03000306"/>
    <s v="N0000000306"/>
    <s v="Initial"/>
    <x v="0"/>
    <x v="1"/>
    <x v="7"/>
    <s v="No"/>
    <s v="MOGO"/>
    <x v="1"/>
    <m/>
    <m/>
    <x v="8"/>
    <x v="8"/>
    <s v="Pre Arrival"/>
  </r>
  <r>
    <x v="4"/>
    <s v="M03000032"/>
    <s v="N0000000032"/>
    <s v="Initial"/>
    <x v="0"/>
    <x v="0"/>
    <x v="9"/>
    <s v="No"/>
    <s v="IPFW/Refund"/>
    <x v="1"/>
    <m/>
    <m/>
    <x v="1"/>
    <x v="1"/>
    <s v="Pre Arrival"/>
  </r>
  <r>
    <x v="72"/>
    <s v="M03000213"/>
    <s v="N0000000213"/>
    <s v="Draft"/>
    <x v="0"/>
    <x v="1"/>
    <x v="7"/>
    <s v="No"/>
    <s v="MOGO"/>
    <x v="1"/>
    <m/>
    <m/>
    <x v="3"/>
    <x v="3"/>
    <s v="Pre Arrival"/>
  </r>
  <r>
    <x v="31"/>
    <s v="M03000040"/>
    <s v="N0000000040"/>
    <s v="Initial"/>
    <x v="0"/>
    <x v="0"/>
    <x v="7"/>
    <s v="No"/>
    <s v="No"/>
    <x v="1"/>
    <m/>
    <m/>
    <x v="2"/>
    <x v="2"/>
    <s v="Pre Arrival"/>
  </r>
  <r>
    <x v="13"/>
    <s v="M03000148"/>
    <s v="N0000000148"/>
    <s v="Initial"/>
    <x v="0"/>
    <x v="0"/>
    <x v="5"/>
    <s v="No"/>
    <s v="No"/>
    <x v="0"/>
    <m/>
    <m/>
    <x v="5"/>
    <x v="5"/>
    <s v="Pre Arrival"/>
  </r>
  <r>
    <x v="27"/>
    <s v="M03000121"/>
    <s v="N0000000121"/>
    <s v="Initial"/>
    <x v="0"/>
    <x v="1"/>
    <x v="7"/>
    <s v="No"/>
    <s v="No"/>
    <x v="0"/>
    <s v="Yes"/>
    <m/>
    <x v="3"/>
    <x v="3"/>
    <s v="Pre Arrival"/>
  </r>
  <r>
    <x v="43"/>
    <s v="M03000232"/>
    <s v="N0000000232"/>
    <s v="Initial"/>
    <x v="0"/>
    <x v="0"/>
    <x v="7"/>
    <s v="No"/>
    <s v="No"/>
    <x v="1"/>
    <m/>
    <m/>
    <x v="5"/>
    <x v="5"/>
    <s v="Pre Arrival"/>
  </r>
  <r>
    <x v="73"/>
    <s v="M03000277"/>
    <s v="N0000000277"/>
    <s v="Initial"/>
    <x v="0"/>
    <x v="1"/>
    <x v="26"/>
    <s v="No"/>
    <s v="IPFW"/>
    <x v="0"/>
    <m/>
    <s v="Transfer-Out"/>
    <x v="9"/>
    <x v="9"/>
    <s v="Pre Arrival"/>
  </r>
  <r>
    <x v="42"/>
    <s v="M03000077"/>
    <s v="N0000000077"/>
    <s v="Initial"/>
    <x v="0"/>
    <x v="1"/>
    <x v="7"/>
    <s v="No"/>
    <s v="No"/>
    <x v="1"/>
    <m/>
    <m/>
    <x v="0"/>
    <x v="0"/>
    <s v="Pre Arrival"/>
  </r>
  <r>
    <x v="32"/>
    <s v="M03000224"/>
    <s v="N0000000224"/>
    <s v="Initial"/>
    <x v="0"/>
    <x v="1"/>
    <x v="5"/>
    <s v="No"/>
    <s v="No"/>
    <x v="0"/>
    <m/>
    <m/>
    <x v="1"/>
    <x v="1"/>
    <s v="Pre Arrival"/>
  </r>
  <r>
    <x v="74"/>
    <s v="M03000110"/>
    <s v="N0000000110"/>
    <s v="Initial"/>
    <x v="0"/>
    <x v="0"/>
    <x v="6"/>
    <s v="No"/>
    <s v="No"/>
    <x v="1"/>
    <m/>
    <m/>
    <x v="20"/>
    <x v="20"/>
    <s v="Pre Arrival"/>
  </r>
  <r>
    <x v="75"/>
    <s v="M03000023"/>
    <s v="N0000000023"/>
    <s v="Initial"/>
    <x v="0"/>
    <x v="0"/>
    <x v="5"/>
    <s v="No"/>
    <s v="No"/>
    <x v="1"/>
    <m/>
    <m/>
    <x v="5"/>
    <x v="5"/>
    <s v="Pre Arrival"/>
  </r>
  <r>
    <x v="76"/>
    <s v="M03000135"/>
    <s v="N0000000135"/>
    <s v="Initial"/>
    <x v="0"/>
    <x v="1"/>
    <x v="9"/>
    <s v="No"/>
    <s v="IPFW"/>
    <x v="0"/>
    <s v="Yes"/>
    <m/>
    <x v="9"/>
    <x v="9"/>
    <s v="Pre Arrival"/>
  </r>
  <r>
    <x v="77"/>
    <s v="M03000098"/>
    <s v="N0000000098"/>
    <s v="Initial"/>
    <x v="0"/>
    <x v="1"/>
    <x v="6"/>
    <s v="No"/>
    <s v="No"/>
    <x v="1"/>
    <m/>
    <m/>
    <x v="0"/>
    <x v="0"/>
    <s v="Pre Arrival"/>
  </r>
  <r>
    <x v="38"/>
    <s v="M03000179"/>
    <s v="N0000000179"/>
    <s v="Initial"/>
    <x v="0"/>
    <x v="1"/>
    <x v="5"/>
    <s v="No"/>
    <s v="No"/>
    <x v="1"/>
    <m/>
    <m/>
    <x v="2"/>
    <x v="2"/>
    <s v="Pre Arrival"/>
  </r>
  <r>
    <x v="78"/>
    <s v="M03000143"/>
    <s v="N0000000143"/>
    <s v="Initial"/>
    <x v="0"/>
    <x v="1"/>
    <x v="9"/>
    <s v="Yes"/>
    <s v="No"/>
    <x v="0"/>
    <s v="Yes"/>
    <m/>
    <x v="21"/>
    <x v="21"/>
    <s v="Pre Arrival"/>
  </r>
  <r>
    <x v="79"/>
    <s v="M03000278"/>
    <s v="N0000000278"/>
    <s v="Initial"/>
    <x v="0"/>
    <x v="0"/>
    <x v="7"/>
    <s v="No"/>
    <s v="No"/>
    <x v="0"/>
    <s v="Yes"/>
    <m/>
    <x v="22"/>
    <x v="22"/>
    <s v="Pre Arrival"/>
  </r>
  <r>
    <x v="3"/>
    <s v="M03000028"/>
    <s v="N0000000028"/>
    <s v="Initial"/>
    <x v="0"/>
    <x v="1"/>
    <x v="7"/>
    <s v="No"/>
    <s v="No"/>
    <x v="0"/>
    <m/>
    <m/>
    <x v="1"/>
    <x v="1"/>
    <s v="Pre Arrival"/>
  </r>
  <r>
    <x v="80"/>
    <s v="M03000086"/>
    <s v="N0000000086"/>
    <s v="Initial"/>
    <x v="0"/>
    <x v="0"/>
    <x v="17"/>
    <s v="No"/>
    <s v="No"/>
    <x v="1"/>
    <m/>
    <m/>
    <x v="23"/>
    <x v="23"/>
    <s v="Pre Arrival"/>
  </r>
  <r>
    <x v="12"/>
    <s v="M03000231"/>
    <s v="N0000000231"/>
    <s v="Initial"/>
    <x v="0"/>
    <x v="1"/>
    <x v="7"/>
    <s v="No"/>
    <s v="No"/>
    <x v="1"/>
    <m/>
    <m/>
    <x v="5"/>
    <x v="5"/>
    <s v="Pre Arrival"/>
  </r>
  <r>
    <x v="4"/>
    <s v="M03000114"/>
    <s v="N0000000114"/>
    <s v="Initial"/>
    <x v="0"/>
    <x v="0"/>
    <x v="9"/>
    <s v="Yes"/>
    <s v="No"/>
    <x v="0"/>
    <s v="Yes"/>
    <m/>
    <x v="1"/>
    <x v="1"/>
    <s v="Pre Arrival"/>
  </r>
  <r>
    <x v="45"/>
    <s v="M03000065"/>
    <s v="N0000000065"/>
    <s v="Initial"/>
    <x v="0"/>
    <x v="0"/>
    <x v="27"/>
    <s v="No"/>
    <s v="IPFW/Refund"/>
    <x v="1"/>
    <m/>
    <m/>
    <x v="12"/>
    <x v="12"/>
    <s v="Pre Arrival"/>
  </r>
  <r>
    <x v="16"/>
    <s v="M03000248"/>
    <s v="N0000000248"/>
    <s v="Initial"/>
    <x v="0"/>
    <x v="0"/>
    <x v="5"/>
    <s v="No"/>
    <s v="No"/>
    <x v="1"/>
    <m/>
    <m/>
    <x v="5"/>
    <x v="5"/>
    <s v="Pre Arrival"/>
  </r>
  <r>
    <x v="47"/>
    <s v="M03000030"/>
    <s v="N0000000030"/>
    <s v="Initial"/>
    <x v="0"/>
    <x v="0"/>
    <x v="9"/>
    <s v="No"/>
    <s v="No"/>
    <x v="0"/>
    <m/>
    <m/>
    <x v="2"/>
    <x v="2"/>
    <s v="Pre Arrival"/>
  </r>
  <r>
    <x v="10"/>
    <s v="M03000138"/>
    <s v="N0000000138"/>
    <s v="Initial"/>
    <x v="0"/>
    <x v="0"/>
    <x v="4"/>
    <s v="No"/>
    <s v="No"/>
    <x v="1"/>
    <m/>
    <m/>
    <x v="1"/>
    <x v="1"/>
    <s v="Pre Arrival"/>
  </r>
  <r>
    <x v="44"/>
    <s v="M03000335"/>
    <s v="N0000000335"/>
    <s v="Initial"/>
    <x v="0"/>
    <x v="1"/>
    <x v="9"/>
    <s v="No"/>
    <s v="No"/>
    <x v="1"/>
    <m/>
    <m/>
    <x v="5"/>
    <x v="5"/>
    <s v="Pre Arrival"/>
  </r>
  <r>
    <x v="35"/>
    <s v="M03000061"/>
    <s v="N0000000061"/>
    <s v="Initial"/>
    <x v="0"/>
    <x v="1"/>
    <x v="2"/>
    <s v="No"/>
    <s v="No"/>
    <x v="0"/>
    <m/>
    <m/>
    <x v="5"/>
    <x v="5"/>
    <s v="Pre Arrival"/>
  </r>
  <r>
    <x v="72"/>
    <s v="M03000094"/>
    <s v="N0000000094"/>
    <s v="Initial"/>
    <x v="0"/>
    <x v="1"/>
    <x v="5"/>
    <s v="No"/>
    <s v="MOGO"/>
    <x v="0"/>
    <s v="Yes"/>
    <m/>
    <x v="3"/>
    <x v="3"/>
    <s v="Pre Arrival"/>
  </r>
  <r>
    <x v="67"/>
    <s v="M03000324"/>
    <s v="N0000000324"/>
    <s v="Initial"/>
    <x v="0"/>
    <x v="0"/>
    <x v="7"/>
    <s v="Yes"/>
    <s v="No"/>
    <x v="1"/>
    <m/>
    <m/>
    <x v="8"/>
    <x v="8"/>
    <s v="Pre Arrival"/>
  </r>
  <r>
    <x v="15"/>
    <s v="M03000079"/>
    <s v="N0000000079"/>
    <s v="Initial"/>
    <x v="0"/>
    <x v="1"/>
    <x v="7"/>
    <s v="No"/>
    <s v="No"/>
    <x v="0"/>
    <m/>
    <m/>
    <x v="2"/>
    <x v="2"/>
    <s v="Pre Arrival"/>
  </r>
  <r>
    <x v="81"/>
    <s v="M03000164"/>
    <s v="N0000000164"/>
    <s v="Initial"/>
    <x v="0"/>
    <x v="0"/>
    <x v="5"/>
    <s v="No"/>
    <s v="No"/>
    <x v="0"/>
    <m/>
    <m/>
    <x v="24"/>
    <x v="24"/>
    <s v="Pre Arrival"/>
  </r>
  <r>
    <x v="30"/>
    <s v="M03000353"/>
    <s v="N0000000353"/>
    <s v="Initial"/>
    <x v="0"/>
    <x v="1"/>
    <x v="4"/>
    <s v="No"/>
    <s v="MOGO"/>
    <x v="0"/>
    <m/>
    <m/>
    <x v="1"/>
    <x v="1"/>
    <s v="Pre Arrival"/>
  </r>
  <r>
    <x v="82"/>
    <s v="M03000165"/>
    <s v="N0000000165"/>
    <s v="Initial"/>
    <x v="0"/>
    <x v="0"/>
    <x v="6"/>
    <s v="Yes"/>
    <s v="No"/>
    <x v="0"/>
    <s v="Yes"/>
    <m/>
    <x v="25"/>
    <x v="25"/>
    <s v="Pre Arrival"/>
  </r>
  <r>
    <x v="83"/>
    <s v="M03000362"/>
    <s v="N0000000362"/>
    <s v="Initial"/>
    <x v="0"/>
    <x v="1"/>
    <x v="5"/>
    <s v="Yes"/>
    <s v="No"/>
    <x v="0"/>
    <s v="Yes"/>
    <m/>
    <x v="26"/>
    <x v="26"/>
    <s v="Pre Arrival"/>
  </r>
  <r>
    <x v="1"/>
    <s v="M03000038"/>
    <s v="N0000000038"/>
    <s v="Initial"/>
    <x v="0"/>
    <x v="0"/>
    <x v="7"/>
    <s v="No"/>
    <s v="IPFW/Refund"/>
    <x v="1"/>
    <m/>
    <m/>
    <x v="0"/>
    <x v="0"/>
    <s v="Pre Arrival"/>
  </r>
  <r>
    <x v="50"/>
    <s v="M03000127"/>
    <s v="N0000000127"/>
    <s v="Initial"/>
    <x v="0"/>
    <x v="1"/>
    <x v="6"/>
    <s v="No"/>
    <s v="MOGO"/>
    <x v="1"/>
    <m/>
    <m/>
    <x v="3"/>
    <x v="3"/>
    <s v="Pre Arrival"/>
  </r>
  <r>
    <x v="22"/>
    <s v="M03000202"/>
    <s v="N0000000202"/>
    <s v="Initial"/>
    <x v="0"/>
    <x v="0"/>
    <x v="27"/>
    <s v="No"/>
    <s v="MOGO"/>
    <x v="0"/>
    <m/>
    <m/>
    <x v="6"/>
    <x v="6"/>
    <s v="Pre Arrival"/>
  </r>
  <r>
    <x v="20"/>
    <s v="M03000201"/>
    <s v="N0000000201"/>
    <s v="Initial"/>
    <x v="0"/>
    <x v="0"/>
    <x v="5"/>
    <s v="No"/>
    <s v="No"/>
    <x v="1"/>
    <m/>
    <m/>
    <x v="1"/>
    <x v="1"/>
    <s v="Pre Arrival"/>
  </r>
  <r>
    <x v="4"/>
    <s v="M03000287"/>
    <s v="N0000000287"/>
    <s v="Initial"/>
    <x v="0"/>
    <x v="0"/>
    <x v="25"/>
    <s v="Yes"/>
    <s v="No"/>
    <x v="0"/>
    <s v="Yes"/>
    <m/>
    <x v="1"/>
    <x v="1"/>
    <s v="Pre Arrival"/>
  </r>
  <r>
    <x v="18"/>
    <s v="M03000336"/>
    <s v="N0000000336"/>
    <s v="Initial"/>
    <x v="0"/>
    <x v="0"/>
    <x v="9"/>
    <s v="No"/>
    <s v="MOGO/REFUND"/>
    <x v="1"/>
    <m/>
    <m/>
    <x v="6"/>
    <x v="6"/>
    <s v="Pre Arrival"/>
  </r>
  <r>
    <x v="20"/>
    <s v="M03000291"/>
    <s v="N0000000291"/>
    <s v="Initial"/>
    <x v="0"/>
    <x v="0"/>
    <x v="7"/>
    <s v="No"/>
    <s v="No"/>
    <x v="1"/>
    <m/>
    <m/>
    <x v="1"/>
    <x v="1"/>
    <s v="Pre Arrival"/>
  </r>
  <r>
    <x v="17"/>
    <s v="M03000109"/>
    <s v="N0000000109"/>
    <s v="Initial"/>
    <x v="0"/>
    <x v="1"/>
    <x v="3"/>
    <s v="No"/>
    <s v="No"/>
    <x v="1"/>
    <m/>
    <m/>
    <x v="5"/>
    <x v="5"/>
    <s v="Pre Arrival"/>
  </r>
  <r>
    <x v="64"/>
    <s v="M03000193"/>
    <s v="N0000000193"/>
    <s v="Initial"/>
    <x v="0"/>
    <x v="0"/>
    <x v="9"/>
    <s v="No"/>
    <s v="No"/>
    <x v="1"/>
    <m/>
    <m/>
    <x v="6"/>
    <x v="6"/>
    <s v="Pre Arrival"/>
  </r>
  <r>
    <x v="5"/>
    <s v="M03000200"/>
    <s v="N0000000200"/>
    <s v="Initial"/>
    <x v="0"/>
    <x v="0"/>
    <x v="23"/>
    <s v="No"/>
    <s v="MOGO"/>
    <x v="1"/>
    <m/>
    <m/>
    <x v="0"/>
    <x v="0"/>
    <s v="Pre Arrival"/>
  </r>
  <r>
    <x v="41"/>
    <s v="M03000171"/>
    <s v="N0000000171"/>
    <s v="Initial"/>
    <x v="0"/>
    <x v="1"/>
    <x v="9"/>
    <s v="No"/>
    <s v="No"/>
    <x v="1"/>
    <m/>
    <m/>
    <x v="6"/>
    <x v="6"/>
    <s v="Pre Arrival"/>
  </r>
  <r>
    <x v="84"/>
    <s v="M03000316"/>
    <s v="N0000000316"/>
    <s v="Initial"/>
    <x v="0"/>
    <x v="1"/>
    <x v="4"/>
    <s v="No"/>
    <s v="MOGO"/>
    <x v="0"/>
    <s v="Yes"/>
    <m/>
    <x v="11"/>
    <x v="11"/>
    <s v="Pre Arrival"/>
  </r>
  <r>
    <x v="35"/>
    <s v="M03000246"/>
    <s v="N0000000246"/>
    <s v="Initial"/>
    <x v="0"/>
    <x v="1"/>
    <x v="7"/>
    <s v="Yes"/>
    <s v="No"/>
    <x v="0"/>
    <m/>
    <m/>
    <x v="5"/>
    <x v="5"/>
    <s v="Pre Arrival"/>
  </r>
  <r>
    <x v="14"/>
    <s v="M03000219"/>
    <s v="N0000000219"/>
    <s v="Initial"/>
    <x v="0"/>
    <x v="1"/>
    <x v="21"/>
    <s v="No"/>
    <s v="No"/>
    <x v="1"/>
    <m/>
    <m/>
    <x v="6"/>
    <x v="6"/>
    <s v="Pre Arrival"/>
  </r>
  <r>
    <x v="85"/>
    <s v="M03000359"/>
    <s v="N0000000359"/>
    <s v="Initial"/>
    <x v="0"/>
    <x v="0"/>
    <x v="24"/>
    <s v="No"/>
    <s v="No"/>
    <x v="0"/>
    <s v="Yes"/>
    <m/>
    <x v="27"/>
    <x v="27"/>
    <s v="Pre Arrival"/>
  </r>
  <r>
    <x v="86"/>
    <s v="M03000226"/>
    <s v="N0000000226"/>
    <s v="Initial"/>
    <x v="0"/>
    <x v="0"/>
    <x v="5"/>
    <s v="No"/>
    <s v="No"/>
    <x v="1"/>
    <m/>
    <m/>
    <x v="9"/>
    <x v="9"/>
    <s v="Pre Arrival"/>
  </r>
  <r>
    <x v="18"/>
    <s v="M03000330"/>
    <s v="N0000000330"/>
    <s v="Initial"/>
    <x v="0"/>
    <x v="0"/>
    <x v="28"/>
    <s v="No"/>
    <s v="No"/>
    <x v="0"/>
    <s v="Denied"/>
    <m/>
    <x v="6"/>
    <x v="6"/>
    <s v="Pre Arrival"/>
  </r>
  <r>
    <x v="7"/>
    <s v="M03000137"/>
    <s v="N0000000137"/>
    <s v="Initial"/>
    <x v="0"/>
    <x v="1"/>
    <x v="9"/>
    <s v="No"/>
    <s v="MOGO"/>
    <x v="1"/>
    <m/>
    <m/>
    <x v="2"/>
    <x v="2"/>
    <s v="Pre Arrival"/>
  </r>
  <r>
    <x v="21"/>
    <s v="M03000090"/>
    <s v="N0000000090"/>
    <s v="Initial"/>
    <x v="0"/>
    <x v="1"/>
    <x v="9"/>
    <s v="No"/>
    <s v="No"/>
    <x v="1"/>
    <m/>
    <m/>
    <x v="5"/>
    <x v="5"/>
    <s v="Pre Arrival"/>
  </r>
  <r>
    <x v="87"/>
    <s v="M03000265"/>
    <s v="N0000000265"/>
    <s v="Initial"/>
    <x v="0"/>
    <x v="0"/>
    <x v="6"/>
    <s v="No"/>
    <s v="MOGO"/>
    <x v="1"/>
    <m/>
    <m/>
    <x v="0"/>
    <x v="0"/>
    <s v="Pre Arrival"/>
  </r>
  <r>
    <x v="35"/>
    <s v="M03000260"/>
    <s v="N0000000260"/>
    <s v="Initial"/>
    <x v="0"/>
    <x v="1"/>
    <x v="4"/>
    <s v="No"/>
    <s v="No"/>
    <x v="1"/>
    <m/>
    <m/>
    <x v="5"/>
    <x v="5"/>
    <s v="Pre Arrival"/>
  </r>
  <r>
    <x v="50"/>
    <s v="M03000313"/>
    <s v="N0000000313"/>
    <s v="Initial"/>
    <x v="0"/>
    <x v="1"/>
    <x v="7"/>
    <s v="No"/>
    <s v="MOGO"/>
    <x v="0"/>
    <m/>
    <m/>
    <x v="3"/>
    <x v="3"/>
    <s v="Pre Arrival"/>
  </r>
  <r>
    <x v="19"/>
    <s v="M03000031"/>
    <s v="N0000000031"/>
    <s v="Initial"/>
    <x v="0"/>
    <x v="1"/>
    <x v="7"/>
    <s v="Yes"/>
    <s v="No"/>
    <x v="1"/>
    <m/>
    <m/>
    <x v="0"/>
    <x v="0"/>
    <s v="Pre Arrival"/>
  </r>
  <r>
    <x v="48"/>
    <s v="M03000044"/>
    <s v="N0000000044"/>
    <s v="Initial"/>
    <x v="0"/>
    <x v="1"/>
    <x v="28"/>
    <s v="No"/>
    <s v="No"/>
    <x v="0"/>
    <s v="Yes"/>
    <s v="Emailed for Update"/>
    <x v="2"/>
    <x v="2"/>
    <s v="Pre Arrival"/>
  </r>
  <r>
    <x v="15"/>
    <s v="M03000271"/>
    <s v="N0000000271"/>
    <s v="Initial"/>
    <x v="0"/>
    <x v="1"/>
    <x v="27"/>
    <s v="No"/>
    <s v="No"/>
    <x v="1"/>
    <m/>
    <m/>
    <x v="2"/>
    <x v="2"/>
    <s v="Pre Arrival"/>
  </r>
  <r>
    <x v="32"/>
    <s v="M03000295"/>
    <s v="N0000000295"/>
    <s v="Initial"/>
    <x v="0"/>
    <x v="1"/>
    <x v="3"/>
    <s v="No"/>
    <s v="No"/>
    <x v="1"/>
    <m/>
    <m/>
    <x v="1"/>
    <x v="1"/>
    <s v="Pre Arrival"/>
  </r>
  <r>
    <x v="10"/>
    <s v="M03000133"/>
    <s v="N0000000133"/>
    <s v="Initial"/>
    <x v="0"/>
    <x v="0"/>
    <x v="6"/>
    <s v="No"/>
    <s v="No"/>
    <x v="0"/>
    <m/>
    <m/>
    <x v="1"/>
    <x v="1"/>
    <s v="Pre Arrival"/>
  </r>
  <r>
    <x v="0"/>
    <s v="M03000119"/>
    <s v="N0000000119"/>
    <s v="Initial"/>
    <x v="0"/>
    <x v="0"/>
    <x v="7"/>
    <s v="No"/>
    <s v="No"/>
    <x v="0"/>
    <m/>
    <m/>
    <x v="0"/>
    <x v="0"/>
    <s v="Pre Arrival"/>
  </r>
  <r>
    <x v="67"/>
    <s v="M03000049"/>
    <s v="N0000000049"/>
    <s v="Initial"/>
    <x v="0"/>
    <x v="0"/>
    <x v="9"/>
    <s v="No"/>
    <s v="No"/>
    <x v="1"/>
    <m/>
    <m/>
    <x v="8"/>
    <x v="8"/>
    <s v="Pre Arrival"/>
  </r>
  <r>
    <x v="4"/>
    <s v="M03000036"/>
    <s v="N0000000036"/>
    <s v="Initial"/>
    <x v="0"/>
    <x v="0"/>
    <x v="7"/>
    <s v="No"/>
    <s v="No"/>
    <x v="1"/>
    <m/>
    <m/>
    <x v="1"/>
    <x v="1"/>
    <s v="Pre Arrival"/>
  </r>
  <r>
    <x v="62"/>
    <s v="M03000116"/>
    <s v="N0000000116"/>
    <s v="Initial"/>
    <x v="0"/>
    <x v="0"/>
    <x v="21"/>
    <s v="No"/>
    <s v="No"/>
    <x v="1"/>
    <m/>
    <m/>
    <x v="2"/>
    <x v="2"/>
    <s v="Pre Arrival"/>
  </r>
  <r>
    <x v="53"/>
    <s v="M03000039"/>
    <s v="N0000000039"/>
    <s v="Initial"/>
    <x v="0"/>
    <x v="1"/>
    <x v="7"/>
    <s v="No"/>
    <s v="No"/>
    <x v="0"/>
    <s v="Denied"/>
    <m/>
    <x v="0"/>
    <x v="0"/>
    <s v="Pre Arrival"/>
  </r>
  <r>
    <x v="21"/>
    <s v="M03000351"/>
    <s v="N0000000351"/>
    <s v="Initial"/>
    <x v="0"/>
    <x v="1"/>
    <x v="5"/>
    <s v="Yes"/>
    <s v="No"/>
    <x v="1"/>
    <m/>
    <m/>
    <x v="5"/>
    <x v="5"/>
    <s v="Pre Arrival"/>
  </r>
  <r>
    <x v="35"/>
    <s v="M03000004"/>
    <s v="N0000000004"/>
    <s v="Initial"/>
    <x v="0"/>
    <x v="1"/>
    <x v="7"/>
    <s v="Yes"/>
    <s v="No"/>
    <x v="0"/>
    <s v="Denied"/>
    <m/>
    <x v="5"/>
    <x v="5"/>
    <s v="Pre Arrival"/>
  </r>
  <r>
    <x v="35"/>
    <s v="M03000159"/>
    <s v="N0000000159"/>
    <s v="Initial"/>
    <x v="0"/>
    <x v="1"/>
    <x v="5"/>
    <s v="No"/>
    <s v="No"/>
    <x v="1"/>
    <m/>
    <m/>
    <x v="5"/>
    <x v="5"/>
    <s v="Pre Arrival"/>
  </r>
  <r>
    <x v="8"/>
    <s v="M03000270"/>
    <s v="N0000000270"/>
    <s v="Initial"/>
    <x v="0"/>
    <x v="0"/>
    <x v="7"/>
    <s v="No"/>
    <s v="No"/>
    <x v="1"/>
    <m/>
    <m/>
    <x v="2"/>
    <x v="2"/>
    <s v="Pre Arrival"/>
  </r>
  <r>
    <x v="64"/>
    <s v="M03000288"/>
    <s v="N0000000288"/>
    <s v="Initial"/>
    <x v="0"/>
    <x v="0"/>
    <x v="13"/>
    <s v="No"/>
    <s v="No"/>
    <x v="1"/>
    <m/>
    <m/>
    <x v="6"/>
    <x v="6"/>
    <s v="Pre Arrival"/>
  </r>
  <r>
    <x v="44"/>
    <s v="M03000013"/>
    <s v="N0000000013"/>
    <s v="Initial"/>
    <x v="0"/>
    <x v="1"/>
    <x v="6"/>
    <s v="No"/>
    <s v="IPFW"/>
    <x v="1"/>
    <m/>
    <m/>
    <x v="5"/>
    <x v="5"/>
    <s v="Pre Arrival"/>
  </r>
  <r>
    <x v="20"/>
    <s v="M03000207"/>
    <s v="N0000000207"/>
    <s v="Initial"/>
    <x v="0"/>
    <x v="0"/>
    <x v="29"/>
    <s v="Yes"/>
    <s v="No"/>
    <x v="0"/>
    <s v="Yes"/>
    <m/>
    <x v="1"/>
    <x v="1"/>
    <s v="Pre Arrival"/>
  </r>
  <r>
    <x v="12"/>
    <s v="M03000071"/>
    <s v="N0000000071"/>
    <s v="Initial"/>
    <x v="0"/>
    <x v="1"/>
    <x v="7"/>
    <s v="No"/>
    <s v="No"/>
    <x v="1"/>
    <m/>
    <m/>
    <x v="5"/>
    <x v="5"/>
    <s v="Pre Arrival"/>
  </r>
  <r>
    <x v="72"/>
    <s v="M03000308"/>
    <s v="N0000000308"/>
    <s v="Initial"/>
    <x v="0"/>
    <x v="1"/>
    <x v="9"/>
    <s v="No"/>
    <s v="No"/>
    <x v="1"/>
    <m/>
    <m/>
    <x v="3"/>
    <x v="3"/>
    <s v="Pre Arrival"/>
  </r>
  <r>
    <x v="12"/>
    <s v="M03000102"/>
    <s v="N0000000102"/>
    <s v="Initial"/>
    <x v="0"/>
    <x v="1"/>
    <x v="9"/>
    <s v="No"/>
    <s v="No"/>
    <x v="1"/>
    <m/>
    <m/>
    <x v="5"/>
    <x v="5"/>
    <s v="Pre Arrival"/>
  </r>
  <r>
    <x v="72"/>
    <s v="M03000338"/>
    <s v="N0000000338"/>
    <s v="Initial"/>
    <x v="0"/>
    <x v="1"/>
    <x v="7"/>
    <s v="No"/>
    <s v="No"/>
    <x v="1"/>
    <m/>
    <m/>
    <x v="3"/>
    <x v="3"/>
    <s v="Pre Arrival"/>
  </r>
  <r>
    <x v="1"/>
    <s v="M03000111"/>
    <s v="N0000000111"/>
    <s v="Initial"/>
    <x v="0"/>
    <x v="0"/>
    <x v="11"/>
    <s v="No"/>
    <s v="MOGO"/>
    <x v="1"/>
    <m/>
    <m/>
    <x v="0"/>
    <x v="0"/>
    <s v="Pre Arrival"/>
  </r>
  <r>
    <x v="3"/>
    <s v="M03000156"/>
    <s v="N0000000156"/>
    <s v="Initial"/>
    <x v="0"/>
    <x v="1"/>
    <x v="6"/>
    <s v="No"/>
    <s v="No"/>
    <x v="1"/>
    <m/>
    <m/>
    <x v="1"/>
    <x v="1"/>
    <s v="Pre Arrival"/>
  </r>
  <r>
    <x v="25"/>
    <s v="M03000352"/>
    <s v="N0000000352"/>
    <s v="Initial"/>
    <x v="0"/>
    <x v="1"/>
    <x v="7"/>
    <s v="No"/>
    <s v="No"/>
    <x v="1"/>
    <m/>
    <m/>
    <x v="8"/>
    <x v="8"/>
    <s v="Pre Arrival"/>
  </r>
  <r>
    <x v="64"/>
    <s v="M03000218"/>
    <s v="N0000000218"/>
    <s v="Initial"/>
    <x v="0"/>
    <x v="0"/>
    <x v="28"/>
    <s v="No"/>
    <s v="No"/>
    <x v="1"/>
    <m/>
    <m/>
    <x v="6"/>
    <x v="6"/>
    <s v="Pre Arrival"/>
  </r>
  <r>
    <x v="88"/>
    <s v="M03000358"/>
    <s v="N0000000358"/>
    <s v="Initial"/>
    <x v="0"/>
    <x v="0"/>
    <x v="3"/>
    <s v="No"/>
    <s v="No"/>
    <x v="0"/>
    <s v="Yes"/>
    <m/>
    <x v="11"/>
    <x v="11"/>
    <s v="Pre Arrival"/>
  </r>
  <r>
    <x v="13"/>
    <s v="M03000266"/>
    <s v="N0000000266"/>
    <s v="Initial"/>
    <x v="0"/>
    <x v="0"/>
    <x v="9"/>
    <s v="No"/>
    <s v="MOGO/REFUND"/>
    <x v="1"/>
    <m/>
    <m/>
    <x v="5"/>
    <x v="5"/>
    <s v="Pre Arrival"/>
  </r>
  <r>
    <x v="33"/>
    <s v="M03000349"/>
    <s v="N0000000349"/>
    <s v="Initial"/>
    <x v="0"/>
    <x v="0"/>
    <x v="9"/>
    <s v="No"/>
    <s v="No"/>
    <x v="0"/>
    <s v="Denied"/>
    <m/>
    <x v="6"/>
    <x v="6"/>
    <s v="Pre Arrival"/>
  </r>
  <r>
    <x v="22"/>
    <s v="M03000240"/>
    <s v="N0000000240"/>
    <s v="Initial"/>
    <x v="0"/>
    <x v="0"/>
    <x v="3"/>
    <s v="No"/>
    <s v="No"/>
    <x v="1"/>
    <m/>
    <m/>
    <x v="6"/>
    <x v="6"/>
    <s v="Pre Arrival"/>
  </r>
  <r>
    <x v="89"/>
    <s v="M03000130"/>
    <s v="N0000000130"/>
    <s v="Initial"/>
    <x v="0"/>
    <x v="0"/>
    <x v="16"/>
    <s v="No"/>
    <s v="MOGO"/>
    <x v="0"/>
    <m/>
    <m/>
    <x v="12"/>
    <x v="12"/>
    <s v="Pre Arrival"/>
  </r>
  <r>
    <x v="16"/>
    <s v="M03000003"/>
    <s v="N0000000003"/>
    <s v="Initial"/>
    <x v="0"/>
    <x v="0"/>
    <x v="30"/>
    <s v="No"/>
    <s v="No"/>
    <x v="0"/>
    <m/>
    <m/>
    <x v="5"/>
    <x v="5"/>
    <s v="Pre Arrival"/>
  </r>
  <r>
    <x v="69"/>
    <s v="M03000332"/>
    <s v="N0000000332"/>
    <s v="Initial"/>
    <x v="0"/>
    <x v="0"/>
    <x v="9"/>
    <s v="No"/>
    <s v="No"/>
    <x v="0"/>
    <m/>
    <s v="Emailed for Update"/>
    <x v="3"/>
    <x v="3"/>
    <s v="Pre Arrival"/>
  </r>
  <r>
    <x v="1"/>
    <s v="M03000249"/>
    <s v="N0000000249"/>
    <s v="Initial"/>
    <x v="0"/>
    <x v="0"/>
    <x v="7"/>
    <s v="No"/>
    <s v="No"/>
    <x v="0"/>
    <m/>
    <m/>
    <x v="0"/>
    <x v="0"/>
    <s v="Pre Arrival"/>
  </r>
  <r>
    <x v="34"/>
    <s v="M03000108"/>
    <s v="N0000000108"/>
    <s v="Initial"/>
    <x v="0"/>
    <x v="1"/>
    <x v="5"/>
    <s v="No"/>
    <s v="IPFW"/>
    <x v="1"/>
    <m/>
    <m/>
    <x v="0"/>
    <x v="0"/>
    <s v="Pre Arrival"/>
  </r>
  <r>
    <x v="41"/>
    <s v="M03000175"/>
    <s v="N0000000175"/>
    <s v="Initial"/>
    <x v="0"/>
    <x v="1"/>
    <x v="9"/>
    <s v="No"/>
    <s v="No"/>
    <x v="1"/>
    <m/>
    <m/>
    <x v="6"/>
    <x v="6"/>
    <s v="Pre Arrival"/>
  </r>
  <r>
    <x v="48"/>
    <s v="M03000178"/>
    <s v="N0000000178"/>
    <s v="Initial"/>
    <x v="0"/>
    <x v="1"/>
    <x v="7"/>
    <s v="No"/>
    <s v="No"/>
    <x v="0"/>
    <s v="Yes"/>
    <s v="Enrolled"/>
    <x v="2"/>
    <x v="2"/>
    <s v="Pre Arrival"/>
  </r>
  <r>
    <x v="20"/>
    <s v="M03000074"/>
    <s v="N0000000074"/>
    <s v="Initial"/>
    <x v="0"/>
    <x v="0"/>
    <x v="7"/>
    <s v="No"/>
    <s v="No"/>
    <x v="1"/>
    <m/>
    <m/>
    <x v="1"/>
    <x v="1"/>
    <s v="Pre Arrival"/>
  </r>
  <r>
    <x v="90"/>
    <s v="M03000267"/>
    <s v="N0000000267"/>
    <s v="Initial"/>
    <x v="0"/>
    <x v="1"/>
    <x v="7"/>
    <s v="Yes"/>
    <s v="No"/>
    <x v="0"/>
    <s v="Yes"/>
    <m/>
    <x v="1"/>
    <x v="1"/>
    <s v="Pre Arrival"/>
  </r>
  <r>
    <x v="91"/>
    <s v="M03000269"/>
    <s v="N0000000269"/>
    <s v="Initial"/>
    <x v="0"/>
    <x v="1"/>
    <x v="9"/>
    <s v="No"/>
    <s v="MOGO"/>
    <x v="1"/>
    <m/>
    <m/>
    <x v="28"/>
    <x v="28"/>
    <s v="Pre Arrival"/>
  </r>
  <r>
    <x v="43"/>
    <s v="M03000158"/>
    <s v="N0000000158"/>
    <s v="Initial"/>
    <x v="0"/>
    <x v="0"/>
    <x v="18"/>
    <s v="No"/>
    <s v="No"/>
    <x v="1"/>
    <m/>
    <m/>
    <x v="5"/>
    <x v="5"/>
    <s v="Pre Arrival"/>
  </r>
  <r>
    <x v="92"/>
    <s v="M03000150"/>
    <s v="N0000000150"/>
    <s v="Initial"/>
    <x v="0"/>
    <x v="0"/>
    <x v="25"/>
    <s v="No"/>
    <s v="No"/>
    <x v="0"/>
    <m/>
    <m/>
    <x v="29"/>
    <x v="29"/>
    <s v="Pre Arrival"/>
  </r>
  <r>
    <x v="46"/>
    <s v="M03000170"/>
    <s v="N0000000170"/>
    <s v="Initial"/>
    <x v="0"/>
    <x v="1"/>
    <x v="7"/>
    <s v="No"/>
    <s v="No"/>
    <x v="1"/>
    <m/>
    <m/>
    <x v="6"/>
    <x v="6"/>
    <s v="Pre Arrival"/>
  </r>
  <r>
    <x v="21"/>
    <s v="M03000253"/>
    <s v="N0000000253"/>
    <s v="Initial"/>
    <x v="0"/>
    <x v="1"/>
    <x v="7"/>
    <s v="No"/>
    <s v="No"/>
    <x v="1"/>
    <m/>
    <m/>
    <x v="5"/>
    <x v="5"/>
    <s v="Pre Arrival"/>
  </r>
  <r>
    <x v="60"/>
    <s v="M03000060"/>
    <s v="N0000000060"/>
    <s v="Initial"/>
    <x v="0"/>
    <x v="0"/>
    <x v="21"/>
    <s v="Yes"/>
    <s v="No"/>
    <x v="0"/>
    <s v="Yes"/>
    <m/>
    <x v="1"/>
    <x v="1"/>
    <s v="Pre Arrival"/>
  </r>
  <r>
    <x v="14"/>
    <s v="M03000256"/>
    <s v="N0000000256"/>
    <s v="Initial"/>
    <x v="0"/>
    <x v="1"/>
    <x v="7"/>
    <s v="Yes"/>
    <s v="No"/>
    <x v="0"/>
    <s v="Yes"/>
    <m/>
    <x v="6"/>
    <x v="6"/>
    <s v="Pre Arrival"/>
  </r>
  <r>
    <x v="47"/>
    <s v="M03000085"/>
    <s v="N0000000085"/>
    <s v="Initial"/>
    <x v="0"/>
    <x v="0"/>
    <x v="7"/>
    <s v="No"/>
    <s v="No"/>
    <x v="1"/>
    <m/>
    <m/>
    <x v="2"/>
    <x v="2"/>
    <s v="Pre Arrival"/>
  </r>
  <r>
    <x v="21"/>
    <s v="M03000059"/>
    <s v="N0000000059"/>
    <s v="Initial"/>
    <x v="0"/>
    <x v="1"/>
    <x v="5"/>
    <s v="Yes"/>
    <s v="No"/>
    <x v="1"/>
    <m/>
    <m/>
    <x v="5"/>
    <x v="5"/>
    <s v="Pre Arrival"/>
  </r>
  <r>
    <x v="48"/>
    <s v="M03000078"/>
    <s v="N0000000078"/>
    <s v="Initial"/>
    <x v="0"/>
    <x v="1"/>
    <x v="10"/>
    <s v="No"/>
    <s v="MOGO"/>
    <x v="1"/>
    <m/>
    <m/>
    <x v="2"/>
    <x v="2"/>
    <s v="Pre Arrival"/>
  </r>
  <r>
    <x v="16"/>
    <s v="M03000139"/>
    <s v="N0000000139"/>
    <s v="Initial"/>
    <x v="0"/>
    <x v="0"/>
    <x v="10"/>
    <s v="No"/>
    <s v="No"/>
    <x v="1"/>
    <m/>
    <m/>
    <x v="5"/>
    <x v="5"/>
    <s v="Pre Arrival"/>
  </r>
  <r>
    <x v="44"/>
    <s v="M03000056"/>
    <s v="N0000000056"/>
    <s v="Initial"/>
    <x v="0"/>
    <x v="1"/>
    <x v="5"/>
    <s v="No"/>
    <s v="IPFW"/>
    <x v="0"/>
    <m/>
    <m/>
    <x v="5"/>
    <x v="5"/>
    <s v="Pre Arrival"/>
  </r>
  <r>
    <x v="5"/>
    <s v="M03000002"/>
    <s v="N0000000002"/>
    <s v="Initial"/>
    <x v="0"/>
    <x v="0"/>
    <x v="16"/>
    <s v="Yes"/>
    <s v="No"/>
    <x v="1"/>
    <m/>
    <m/>
    <x v="0"/>
    <x v="0"/>
    <s v="Pre Arrival"/>
  </r>
  <r>
    <x v="52"/>
    <s v="M03000255"/>
    <s v="N0000000255"/>
    <s v="Initial"/>
    <x v="0"/>
    <x v="1"/>
    <x v="7"/>
    <s v="No"/>
    <s v="MOGO"/>
    <x v="0"/>
    <m/>
    <m/>
    <x v="6"/>
    <x v="6"/>
    <s v="Pre Arrival"/>
  </r>
  <r>
    <x v="64"/>
    <s v="M03000323"/>
    <s v="N0000000323"/>
    <s v="Initial"/>
    <x v="0"/>
    <x v="0"/>
    <x v="11"/>
    <s v="No"/>
    <s v="No"/>
    <x v="0"/>
    <m/>
    <m/>
    <x v="6"/>
    <x v="6"/>
    <s v="Pre Arrival"/>
  </r>
  <r>
    <x v="35"/>
    <s v="M03000153"/>
    <s v="N0000000153"/>
    <s v="Initial"/>
    <x v="0"/>
    <x v="1"/>
    <x v="5"/>
    <s v="Yes"/>
    <s v="No"/>
    <x v="0"/>
    <s v="Yes"/>
    <m/>
    <x v="5"/>
    <x v="5"/>
    <s v="Pre Arrival"/>
  </r>
  <r>
    <x v="52"/>
    <s v="M03000238"/>
    <s v="N0000000238"/>
    <s v="Initial"/>
    <x v="0"/>
    <x v="1"/>
    <x v="5"/>
    <s v="No"/>
    <s v="IPFW"/>
    <x v="1"/>
    <m/>
    <m/>
    <x v="6"/>
    <x v="6"/>
    <s v="Pre Arrival"/>
  </r>
  <r>
    <x v="93"/>
    <s v="M03000069"/>
    <s v="N0000000069"/>
    <s v="Initial"/>
    <x v="0"/>
    <x v="1"/>
    <x v="3"/>
    <s v="No"/>
    <s v="No"/>
    <x v="0"/>
    <s v="Yes"/>
    <m/>
    <x v="16"/>
    <x v="16"/>
    <s v="Pre Arrival"/>
  </r>
  <r>
    <x v="94"/>
    <s v="M03000360"/>
    <s v="N0000000360"/>
    <s v="Initial"/>
    <x v="0"/>
    <x v="0"/>
    <x v="5"/>
    <s v="No"/>
    <s v="No"/>
    <x v="0"/>
    <s v="Yes"/>
    <m/>
    <x v="7"/>
    <x v="7"/>
    <s v="Pre Arrival"/>
  </r>
  <r>
    <x v="95"/>
    <s v="M03000311"/>
    <s v="N0000000311"/>
    <s v="Initial"/>
    <x v="0"/>
    <x v="1"/>
    <x v="7"/>
    <s v="No"/>
    <s v="No"/>
    <x v="0"/>
    <s v="Yes"/>
    <m/>
    <x v="30"/>
    <x v="30"/>
    <s v="Pre Arrival"/>
  </r>
  <r>
    <x v="7"/>
    <s v="M03000220"/>
    <s v="N0000000220"/>
    <s v="Initial"/>
    <x v="0"/>
    <x v="1"/>
    <x v="9"/>
    <s v="No"/>
    <s v="MOGO"/>
    <x v="0"/>
    <s v="Yes"/>
    <m/>
    <x v="2"/>
    <x v="2"/>
    <s v="Pre Arrival"/>
  </r>
  <r>
    <x v="46"/>
    <s v="M03000209"/>
    <s v="N0000000209"/>
    <s v="Initial"/>
    <x v="0"/>
    <x v="1"/>
    <x v="7"/>
    <s v="No"/>
    <s v="No"/>
    <x v="1"/>
    <m/>
    <m/>
    <x v="6"/>
    <x v="6"/>
    <s v="Pre Arrival"/>
  </r>
  <r>
    <x v="14"/>
    <s v="M03000222"/>
    <s v="N0000000222"/>
    <s v="Initial"/>
    <x v="0"/>
    <x v="1"/>
    <x v="6"/>
    <s v="No"/>
    <s v="No"/>
    <x v="1"/>
    <m/>
    <m/>
    <x v="6"/>
    <x v="6"/>
    <s v="Pre Arrival"/>
  </r>
  <r>
    <x v="96"/>
    <s v="M03000186"/>
    <s v="N0000000186"/>
    <s v="Initial"/>
    <x v="0"/>
    <x v="0"/>
    <x v="9"/>
    <s v="No"/>
    <s v="MOGO"/>
    <x v="1"/>
    <m/>
    <m/>
    <x v="16"/>
    <x v="16"/>
    <s v="Pre Arrival"/>
  </r>
  <r>
    <x v="95"/>
    <s v="M03000144"/>
    <s v="N0000000144"/>
    <s v="Initial"/>
    <x v="0"/>
    <x v="1"/>
    <x v="5"/>
    <s v="Yes"/>
    <s v="No"/>
    <x v="0"/>
    <m/>
    <m/>
    <x v="30"/>
    <x v="30"/>
    <s v="Pre Arrival"/>
  </r>
  <r>
    <x v="40"/>
    <s v="M03000033"/>
    <s v="N0000000033"/>
    <s v="Initial"/>
    <x v="0"/>
    <x v="0"/>
    <x v="7"/>
    <s v="No"/>
    <s v="No"/>
    <x v="0"/>
    <s v="Yes"/>
    <m/>
    <x v="12"/>
    <x v="12"/>
    <s v="Pre Arrival"/>
  </r>
  <r>
    <x v="0"/>
    <s v="M03000047"/>
    <s v="N0000000047"/>
    <s v="Initial"/>
    <x v="0"/>
    <x v="0"/>
    <x v="31"/>
    <s v="No"/>
    <s v="No"/>
    <x v="1"/>
    <m/>
    <m/>
    <x v="0"/>
    <x v="0"/>
    <s v="Pre Arrival"/>
  </r>
  <r>
    <x v="75"/>
    <s v="M03000068"/>
    <s v="N0000000068"/>
    <s v="Initial"/>
    <x v="0"/>
    <x v="0"/>
    <x v="3"/>
    <s v="No"/>
    <s v="No"/>
    <x v="1"/>
    <m/>
    <m/>
    <x v="5"/>
    <x v="5"/>
    <s v="Pre Arrival"/>
  </r>
  <r>
    <x v="31"/>
    <s v="M03000182"/>
    <s v="N0000000182"/>
    <s v="Initial"/>
    <x v="0"/>
    <x v="0"/>
    <x v="5"/>
    <s v="No"/>
    <s v="No"/>
    <x v="1"/>
    <m/>
    <m/>
    <x v="2"/>
    <x v="2"/>
    <s v="Pre Arrival"/>
  </r>
  <r>
    <x v="52"/>
    <s v="M03000172"/>
    <s v="N0000000172"/>
    <s v="Initial"/>
    <x v="0"/>
    <x v="1"/>
    <x v="9"/>
    <s v="No"/>
    <s v="No"/>
    <x v="0"/>
    <m/>
    <m/>
    <x v="6"/>
    <x v="6"/>
    <s v="Pre Arrival"/>
  </r>
  <r>
    <x v="15"/>
    <s v="M03000309"/>
    <s v="N0000000309"/>
    <s v="Initial"/>
    <x v="0"/>
    <x v="1"/>
    <x v="4"/>
    <s v="No"/>
    <s v="No"/>
    <x v="1"/>
    <m/>
    <m/>
    <x v="2"/>
    <x v="2"/>
    <s v="Pre Arrival"/>
  </r>
  <r>
    <x v="10"/>
    <s v="M03000052"/>
    <s v="N0000000052"/>
    <s v="Initial"/>
    <x v="0"/>
    <x v="0"/>
    <x v="7"/>
    <s v="No"/>
    <s v="MOGO"/>
    <x v="1"/>
    <m/>
    <m/>
    <x v="1"/>
    <x v="1"/>
    <s v="Pre Arrival"/>
  </r>
  <r>
    <x v="48"/>
    <s v="M03000282"/>
    <s v="N0000000282"/>
    <s v="Initial"/>
    <x v="0"/>
    <x v="1"/>
    <x v="7"/>
    <s v="No"/>
    <s v="No"/>
    <x v="1"/>
    <m/>
    <m/>
    <x v="2"/>
    <x v="2"/>
    <s v="Pre Arrival"/>
  </r>
  <r>
    <x v="14"/>
    <s v="M03000149"/>
    <s v="N0000000149"/>
    <s v="Initial"/>
    <x v="0"/>
    <x v="1"/>
    <x v="9"/>
    <s v="No"/>
    <s v="MOGO"/>
    <x v="1"/>
    <m/>
    <m/>
    <x v="6"/>
    <x v="6"/>
    <s v="Pre Arrival"/>
  </r>
  <r>
    <x v="90"/>
    <s v="M03000346"/>
    <s v="N0000000346"/>
    <s v="Initial"/>
    <x v="0"/>
    <x v="1"/>
    <x v="5"/>
    <s v="No"/>
    <s v="No"/>
    <x v="1"/>
    <m/>
    <m/>
    <x v="1"/>
    <x v="1"/>
    <s v="Pre Arrival"/>
  </r>
  <r>
    <x v="28"/>
    <s v="M03000167"/>
    <s v="N0000000167"/>
    <s v="Initial"/>
    <x v="0"/>
    <x v="1"/>
    <x v="4"/>
    <s v="No"/>
    <s v="MOGO"/>
    <x v="0"/>
    <m/>
    <m/>
    <x v="6"/>
    <x v="6"/>
    <s v="Pre Arrival"/>
  </r>
  <r>
    <x v="54"/>
    <s v="M03000072"/>
    <s v="N0000000072"/>
    <s v="Initial"/>
    <x v="0"/>
    <x v="1"/>
    <x v="9"/>
    <s v="No"/>
    <s v="No"/>
    <x v="1"/>
    <m/>
    <m/>
    <x v="12"/>
    <x v="12"/>
    <s v="Pre Arrival"/>
  </r>
  <r>
    <x v="33"/>
    <s v="M03000237"/>
    <s v="N0000000237"/>
    <s v="Initial"/>
    <x v="0"/>
    <x v="0"/>
    <x v="16"/>
    <s v="No"/>
    <s v="MOGO"/>
    <x v="1"/>
    <m/>
    <m/>
    <x v="6"/>
    <x v="6"/>
    <s v="Pre Arrival"/>
  </r>
  <r>
    <x v="15"/>
    <s v="M03000055"/>
    <s v="N0000000055"/>
    <s v="Initial"/>
    <x v="0"/>
    <x v="1"/>
    <x v="7"/>
    <s v="No"/>
    <s v="No"/>
    <x v="0"/>
    <s v="Yes"/>
    <m/>
    <x v="2"/>
    <x v="2"/>
    <s v="Pre Arrival"/>
  </r>
  <r>
    <x v="12"/>
    <s v="M03000104"/>
    <s v="N0000000104"/>
    <s v="Initial"/>
    <x v="0"/>
    <x v="1"/>
    <x v="7"/>
    <s v="No"/>
    <s v="No"/>
    <x v="1"/>
    <m/>
    <m/>
    <x v="5"/>
    <x v="5"/>
    <s v="Pre Arrival"/>
  </r>
  <r>
    <x v="8"/>
    <s v="M03000334"/>
    <s v="N0000000334"/>
    <s v="Initial"/>
    <x v="0"/>
    <x v="0"/>
    <x v="7"/>
    <s v="No"/>
    <s v="No"/>
    <x v="1"/>
    <m/>
    <m/>
    <x v="2"/>
    <x v="2"/>
    <s v="Pre Arrival"/>
  </r>
  <r>
    <x v="20"/>
    <s v="M03000006"/>
    <s v="N0000000006"/>
    <s v="Initial"/>
    <x v="0"/>
    <x v="0"/>
    <x v="28"/>
    <s v="No"/>
    <s v="MOGO"/>
    <x v="1"/>
    <m/>
    <m/>
    <x v="1"/>
    <x v="1"/>
    <s v="Pre Arrival"/>
  </r>
  <r>
    <x v="19"/>
    <s v="M03000263"/>
    <s v="N0000000263"/>
    <s v="Initial"/>
    <x v="0"/>
    <x v="1"/>
    <x v="7"/>
    <s v="No"/>
    <s v="MOGO"/>
    <x v="1"/>
    <m/>
    <m/>
    <x v="0"/>
    <x v="0"/>
    <s v="Pre Arrival"/>
  </r>
  <r>
    <x v="14"/>
    <s v="M03000177"/>
    <s v="N0000000177"/>
    <s v="Initial"/>
    <x v="0"/>
    <x v="1"/>
    <x v="7"/>
    <s v="No"/>
    <s v="MOGO"/>
    <x v="1"/>
    <m/>
    <m/>
    <x v="6"/>
    <x v="6"/>
    <s v="Pre Arrival"/>
  </r>
  <r>
    <x v="43"/>
    <s v="M03000026"/>
    <s v="N0000000026"/>
    <s v="Initial"/>
    <x v="0"/>
    <x v="0"/>
    <x v="7"/>
    <s v="No"/>
    <s v="No"/>
    <x v="0"/>
    <m/>
    <m/>
    <x v="5"/>
    <x v="5"/>
    <s v="Pre Arrival"/>
  </r>
  <r>
    <x v="46"/>
    <s v="M03000134"/>
    <s v="N0000000134"/>
    <s v="Initial"/>
    <x v="0"/>
    <x v="1"/>
    <x v="7"/>
    <s v="No"/>
    <s v="No"/>
    <x v="1"/>
    <m/>
    <m/>
    <x v="6"/>
    <x v="6"/>
    <s v="Pre Arrival"/>
  </r>
  <r>
    <x v="34"/>
    <s v="M03000181"/>
    <s v="N0000000181"/>
    <s v="Initial"/>
    <x v="0"/>
    <x v="1"/>
    <x v="5"/>
    <s v="Yes"/>
    <s v="No"/>
    <x v="1"/>
    <m/>
    <m/>
    <x v="0"/>
    <x v="0"/>
    <s v="Pre Arrival"/>
  </r>
  <r>
    <x v="33"/>
    <s v="M03000122"/>
    <s v="N0000000122"/>
    <s v="Initial"/>
    <x v="0"/>
    <x v="0"/>
    <x v="32"/>
    <s v="No"/>
    <s v="MOGO"/>
    <x v="1"/>
    <m/>
    <m/>
    <x v="6"/>
    <x v="6"/>
    <s v="Pre Arrival"/>
  </r>
  <r>
    <x v="12"/>
    <s v="M03000229"/>
    <s v="N0000000229"/>
    <s v="Initial"/>
    <x v="0"/>
    <x v="1"/>
    <x v="2"/>
    <s v="No"/>
    <s v="No"/>
    <x v="1"/>
    <m/>
    <m/>
    <x v="5"/>
    <x v="5"/>
    <s v="Pre Arrival"/>
  </r>
  <r>
    <x v="15"/>
    <s v="M03000084"/>
    <s v="N0000000084"/>
    <s v="Initial"/>
    <x v="0"/>
    <x v="1"/>
    <x v="6"/>
    <s v="No"/>
    <s v="No"/>
    <x v="1"/>
    <m/>
    <m/>
    <x v="2"/>
    <x v="2"/>
    <s v="Pre Arrival"/>
  </r>
  <r>
    <x v="16"/>
    <s v="M03000230"/>
    <s v="N0000000230"/>
    <s v="Initial"/>
    <x v="0"/>
    <x v="0"/>
    <x v="6"/>
    <s v="No"/>
    <s v="No"/>
    <x v="1"/>
    <m/>
    <m/>
    <x v="5"/>
    <x v="5"/>
    <s v="Pre Arrival"/>
  </r>
  <r>
    <x v="20"/>
    <s v="M03000208"/>
    <s v="N0000000208"/>
    <s v="Initial"/>
    <x v="0"/>
    <x v="0"/>
    <x v="9"/>
    <s v="No"/>
    <s v="No"/>
    <x v="0"/>
    <m/>
    <m/>
    <x v="1"/>
    <x v="1"/>
    <s v="Pre Arrival"/>
  </r>
  <r>
    <x v="97"/>
    <s v="M03000322"/>
    <s v="N0000000322"/>
    <s v="Initial"/>
    <x v="0"/>
    <x v="0"/>
    <x v="7"/>
    <s v="Yes"/>
    <s v="No"/>
    <x v="0"/>
    <s v="Yes"/>
    <m/>
    <x v="31"/>
    <x v="31"/>
    <s v="Pre Arrival"/>
  </r>
  <r>
    <x v="41"/>
    <s v="M03000155"/>
    <s v="N0000000155"/>
    <s v="Initial"/>
    <x v="0"/>
    <x v="1"/>
    <x v="9"/>
    <s v="No"/>
    <s v="No"/>
    <x v="1"/>
    <m/>
    <m/>
    <x v="6"/>
    <x v="6"/>
    <s v="Pre Arrival"/>
  </r>
  <r>
    <x v="46"/>
    <s v="M03000225"/>
    <s v="N0000000225"/>
    <s v="Initial"/>
    <x v="0"/>
    <x v="1"/>
    <x v="9"/>
    <s v="No"/>
    <s v="No"/>
    <x v="1"/>
    <m/>
    <m/>
    <x v="6"/>
    <x v="6"/>
    <s v="Pre Arrival"/>
  </r>
  <r>
    <x v="34"/>
    <s v="M03000021"/>
    <s v="N0000000021"/>
    <s v="Initial"/>
    <x v="0"/>
    <x v="1"/>
    <x v="5"/>
    <s v="No"/>
    <s v="IPFW"/>
    <x v="1"/>
    <m/>
    <m/>
    <x v="0"/>
    <x v="0"/>
    <s v="Pre Arrival"/>
  </r>
  <r>
    <x v="41"/>
    <s v="M03000168"/>
    <s v="N0000000168"/>
    <s v="Initial"/>
    <x v="0"/>
    <x v="1"/>
    <x v="4"/>
    <s v="No"/>
    <s v="No"/>
    <x v="0"/>
    <m/>
    <m/>
    <x v="6"/>
    <x v="6"/>
    <s v="Pre Arrival"/>
  </r>
  <r>
    <x v="98"/>
    <s v="M03000345"/>
    <s v="N0000000345"/>
    <s v="Initial"/>
    <x v="0"/>
    <x v="0"/>
    <x v="23"/>
    <s v="No"/>
    <s v="No"/>
    <x v="1"/>
    <m/>
    <m/>
    <x v="3"/>
    <x v="3"/>
    <s v="Pre Arrival"/>
  </r>
  <r>
    <x v="87"/>
    <s v="M03000241"/>
    <s v="N0000000241"/>
    <s v="Initial"/>
    <x v="0"/>
    <x v="0"/>
    <x v="24"/>
    <s v="No"/>
    <s v="No"/>
    <x v="1"/>
    <m/>
    <m/>
    <x v="0"/>
    <x v="0"/>
    <s v="Pre Arrival"/>
  </r>
  <r>
    <x v="21"/>
    <s v="M03000107"/>
    <s v="N0000000107"/>
    <s v="Initial"/>
    <x v="0"/>
    <x v="1"/>
    <x v="5"/>
    <s v="No"/>
    <s v="No"/>
    <x v="1"/>
    <m/>
    <m/>
    <x v="5"/>
    <x v="5"/>
    <s v="Pre Arrival"/>
  </r>
  <r>
    <x v="90"/>
    <s v="M03000297"/>
    <s v="N0000000297"/>
    <s v="Initial"/>
    <x v="0"/>
    <x v="1"/>
    <x v="7"/>
    <s v="No"/>
    <s v="No"/>
    <x v="1"/>
    <m/>
    <m/>
    <x v="1"/>
    <x v="1"/>
    <s v="Pre Arrival"/>
  </r>
  <r>
    <x v="48"/>
    <s v="M03000285"/>
    <s v="N0000000285"/>
    <s v="Initial"/>
    <x v="0"/>
    <x v="1"/>
    <x v="9"/>
    <s v="No"/>
    <s v="No"/>
    <x v="1"/>
    <m/>
    <m/>
    <x v="2"/>
    <x v="2"/>
    <s v="Pre Arrival"/>
  </r>
  <r>
    <x v="28"/>
    <s v="M03000227"/>
    <s v="N0000000227"/>
    <s v="Initial"/>
    <x v="0"/>
    <x v="1"/>
    <x v="7"/>
    <s v="No"/>
    <s v="No"/>
    <x v="0"/>
    <m/>
    <m/>
    <x v="6"/>
    <x v="6"/>
    <s v="Pre Arrival"/>
  </r>
  <r>
    <x v="48"/>
    <s v="M03000268"/>
    <s v="N0000000268"/>
    <s v="Initial"/>
    <x v="0"/>
    <x v="1"/>
    <x v="7"/>
    <s v="No"/>
    <s v="No"/>
    <x v="1"/>
    <m/>
    <m/>
    <x v="2"/>
    <x v="2"/>
    <s v="Pre Arrival"/>
  </r>
  <r>
    <x v="43"/>
    <s v="M03000009"/>
    <s v="N0000000009"/>
    <s v="Initial"/>
    <x v="0"/>
    <x v="0"/>
    <x v="7"/>
    <s v="No"/>
    <s v="No"/>
    <x v="0"/>
    <s v="Yes"/>
    <s v="Transfer-Out"/>
    <x v="5"/>
    <x v="5"/>
    <s v="Pre Arrival"/>
  </r>
  <r>
    <x v="16"/>
    <s v="M03000185"/>
    <s v="N0000000185"/>
    <s v="Initial"/>
    <x v="0"/>
    <x v="0"/>
    <x v="28"/>
    <s v="No"/>
    <s v="No"/>
    <x v="0"/>
    <m/>
    <s v="Deferred SP26"/>
    <x v="5"/>
    <x v="5"/>
    <s v="Pre Arrival"/>
  </r>
  <r>
    <x v="5"/>
    <s v="M03000245"/>
    <s v="N0000000245"/>
    <s v="Initial"/>
    <x v="0"/>
    <x v="0"/>
    <x v="4"/>
    <s v="Yes"/>
    <s v="No"/>
    <x v="0"/>
    <s v="Yes"/>
    <m/>
    <x v="0"/>
    <x v="0"/>
    <s v="Pre Arrival"/>
  </r>
  <r>
    <x v="9"/>
    <s v="M03000008"/>
    <s v="N0000000008"/>
    <s v="Initial"/>
    <x v="0"/>
    <x v="0"/>
    <x v="27"/>
    <s v="No"/>
    <s v="MOGO"/>
    <x v="1"/>
    <s v="7/28/2025 12:00:00 AM"/>
    <m/>
    <x v="3"/>
    <x v="3"/>
    <s v="Pre Arrival"/>
  </r>
  <r>
    <x v="99"/>
    <s v="M03000281"/>
    <s v="N0000000281"/>
    <s v="Initial"/>
    <x v="0"/>
    <x v="1"/>
    <x v="27"/>
    <s v="No"/>
    <s v="No"/>
    <x v="1"/>
    <m/>
    <m/>
    <x v="3"/>
    <x v="3"/>
    <s v="Pre Arrival"/>
  </r>
  <r>
    <x v="3"/>
    <s v="M03000081"/>
    <s v="N0000000081"/>
    <s v="Initial"/>
    <x v="0"/>
    <x v="1"/>
    <x v="1"/>
    <s v="No"/>
    <s v="No"/>
    <x v="1"/>
    <m/>
    <m/>
    <x v="1"/>
    <x v="1"/>
    <s v="Pre Arrival"/>
  </r>
  <r>
    <x v="26"/>
    <s v="M03000233"/>
    <s v="N0000000233"/>
    <s v="Initial"/>
    <x v="0"/>
    <x v="0"/>
    <x v="23"/>
    <s v="No"/>
    <s v="No"/>
    <x v="0"/>
    <m/>
    <m/>
    <x v="5"/>
    <x v="5"/>
    <s v="Pre Arrival"/>
  </r>
  <r>
    <x v="41"/>
    <s v="M03000083"/>
    <s v="N0000000083"/>
    <s v="Initial"/>
    <x v="0"/>
    <x v="1"/>
    <x v="31"/>
    <s v="No"/>
    <s v="MOGO"/>
    <x v="0"/>
    <m/>
    <m/>
    <x v="6"/>
    <x v="6"/>
    <s v="Pre Arrival"/>
  </r>
  <r>
    <x v="62"/>
    <s v="M03000203"/>
    <s v="N0000000203"/>
    <s v="Initial"/>
    <x v="0"/>
    <x v="0"/>
    <x v="9"/>
    <s v="No"/>
    <s v="No"/>
    <x v="0"/>
    <s v="Yes"/>
    <s v="Enrolled"/>
    <x v="2"/>
    <x v="2"/>
    <s v="Pre Arrival"/>
  </r>
  <r>
    <x v="52"/>
    <s v="M03000259"/>
    <s v="N0000000259"/>
    <s v="Initial"/>
    <x v="0"/>
    <x v="1"/>
    <x v="9"/>
    <s v="Yes"/>
    <s v="No"/>
    <x v="1"/>
    <m/>
    <m/>
    <x v="6"/>
    <x v="6"/>
    <s v="Pre Arrival"/>
  </r>
  <r>
    <x v="19"/>
    <s v="M03000261"/>
    <s v="N0000000261"/>
    <s v="Initial"/>
    <x v="0"/>
    <x v="1"/>
    <x v="6"/>
    <s v="No"/>
    <s v="No"/>
    <x v="1"/>
    <m/>
    <m/>
    <x v="0"/>
    <x v="0"/>
    <s v="Pre Arrival"/>
  </r>
  <r>
    <x v="18"/>
    <s v="M03000034"/>
    <s v="N0000000034"/>
    <s v="Initial"/>
    <x v="0"/>
    <x v="0"/>
    <x v="9"/>
    <s v="No"/>
    <s v="No"/>
    <x v="1"/>
    <m/>
    <m/>
    <x v="6"/>
    <x v="6"/>
    <s v="Pre Arrival"/>
  </r>
  <r>
    <x v="5"/>
    <s v="M03000053"/>
    <s v="N0000000053"/>
    <s v="Initial"/>
    <x v="0"/>
    <x v="0"/>
    <x v="5"/>
    <s v="No"/>
    <s v="MOGO"/>
    <x v="1"/>
    <m/>
    <m/>
    <x v="0"/>
    <x v="0"/>
    <s v="Pre Arrival"/>
  </r>
  <r>
    <x v="13"/>
    <s v="M03000140"/>
    <s v="N0000000140"/>
    <s v="Initial"/>
    <x v="0"/>
    <x v="0"/>
    <x v="22"/>
    <s v="No"/>
    <s v="No"/>
    <x v="1"/>
    <m/>
    <m/>
    <x v="5"/>
    <x v="5"/>
    <s v="Pre Arrival"/>
  </r>
  <r>
    <x v="60"/>
    <s v="M03000063"/>
    <s v="N0000000063"/>
    <s v="Initial"/>
    <x v="0"/>
    <x v="0"/>
    <x v="5"/>
    <s v="Yes"/>
    <s v="No"/>
    <x v="0"/>
    <s v="Yes"/>
    <m/>
    <x v="1"/>
    <x v="1"/>
    <s v="Pre Arrival"/>
  </r>
  <r>
    <x v="51"/>
    <s v="M03000302"/>
    <s v="N0000000302"/>
    <s v="Initial"/>
    <x v="0"/>
    <x v="1"/>
    <x v="20"/>
    <s v="No"/>
    <s v="No"/>
    <x v="1"/>
    <m/>
    <m/>
    <x v="1"/>
    <x v="1"/>
    <s v="Pre Arrival"/>
  </r>
  <r>
    <x v="32"/>
    <s v="M03000215"/>
    <s v="N0000000215"/>
    <s v="Initial"/>
    <x v="0"/>
    <x v="1"/>
    <x v="21"/>
    <s v="No"/>
    <s v="No"/>
    <x v="1"/>
    <m/>
    <m/>
    <x v="1"/>
    <x v="1"/>
    <s v="Pre Arrival"/>
  </r>
  <r>
    <x v="100"/>
    <s v="M03000166"/>
    <s v="N0000000166"/>
    <s v="Initial"/>
    <x v="0"/>
    <x v="1"/>
    <x v="3"/>
    <s v="No"/>
    <s v="No"/>
    <x v="1"/>
    <m/>
    <m/>
    <x v="8"/>
    <x v="8"/>
    <s v="Pre Arrival"/>
  </r>
  <r>
    <x v="51"/>
    <s v="M03000299"/>
    <s v="N0000000299"/>
    <s v="Initial"/>
    <x v="0"/>
    <x v="1"/>
    <x v="9"/>
    <s v="Yes"/>
    <s v="No"/>
    <x v="0"/>
    <m/>
    <m/>
    <x v="1"/>
    <x v="1"/>
    <s v="Pre Arrival"/>
  </r>
  <r>
    <x v="13"/>
    <s v="M03000014"/>
    <s v="N0000000014"/>
    <s v="Initial"/>
    <x v="0"/>
    <x v="0"/>
    <x v="9"/>
    <s v="No"/>
    <s v="IPFW"/>
    <x v="1"/>
    <m/>
    <m/>
    <x v="5"/>
    <x v="5"/>
    <s v="Pre Arrival"/>
  </r>
  <r>
    <x v="7"/>
    <s v="M03000223"/>
    <s v="N0000000223"/>
    <s v="Initial"/>
    <x v="0"/>
    <x v="1"/>
    <x v="5"/>
    <s v="No"/>
    <s v="No"/>
    <x v="1"/>
    <m/>
    <m/>
    <x v="2"/>
    <x v="2"/>
    <s v="Pre Arrival"/>
  </r>
  <r>
    <x v="35"/>
    <s v="M03000235"/>
    <s v="N0000000235"/>
    <s v="Initial"/>
    <x v="0"/>
    <x v="1"/>
    <x v="5"/>
    <s v="No"/>
    <s v="No"/>
    <x v="1"/>
    <m/>
    <m/>
    <x v="5"/>
    <x v="5"/>
    <s v="Pre Arrival"/>
  </r>
  <r>
    <x v="30"/>
    <s v="M03000194"/>
    <s v="N0000000194"/>
    <s v="Initial"/>
    <x v="0"/>
    <x v="1"/>
    <x v="3"/>
    <s v="No"/>
    <s v="No"/>
    <x v="1"/>
    <m/>
    <m/>
    <x v="1"/>
    <x v="1"/>
    <s v="Pre Arrival"/>
  </r>
  <r>
    <x v="44"/>
    <s v="M03000354"/>
    <s v="N0000000354"/>
    <s v="Initial"/>
    <x v="0"/>
    <x v="1"/>
    <x v="9"/>
    <s v="No"/>
    <s v="MOGO"/>
    <x v="0"/>
    <m/>
    <m/>
    <x v="5"/>
    <x v="5"/>
    <s v="Pre Arrival"/>
  </r>
  <r>
    <x v="21"/>
    <s v="M03000101"/>
    <s v="N0000000101"/>
    <s v="Initial"/>
    <x v="0"/>
    <x v="1"/>
    <x v="9"/>
    <s v="No"/>
    <s v="No"/>
    <x v="0"/>
    <m/>
    <m/>
    <x v="5"/>
    <x v="5"/>
    <s v="Pre Arrival"/>
  </r>
  <r>
    <x v="46"/>
    <s v="M03000300"/>
    <s v="N0000000300"/>
    <s v="Initial"/>
    <x v="0"/>
    <x v="1"/>
    <x v="5"/>
    <s v="No"/>
    <s v="MOGO"/>
    <x v="1"/>
    <m/>
    <m/>
    <x v="6"/>
    <x v="6"/>
    <s v="Pre Arrival"/>
  </r>
  <r>
    <x v="7"/>
    <s v="M03000273"/>
    <s v="N0000000273"/>
    <s v="Initial"/>
    <x v="0"/>
    <x v="1"/>
    <x v="3"/>
    <s v="No"/>
    <s v="No"/>
    <x v="0"/>
    <m/>
    <m/>
    <x v="2"/>
    <x v="2"/>
    <s v="Pre Arrival"/>
  </r>
  <r>
    <x v="2"/>
    <s v="M03000136"/>
    <s v="N0000000136"/>
    <s v="Initial"/>
    <x v="0"/>
    <x v="0"/>
    <x v="5"/>
    <s v="No"/>
    <s v="MOGO"/>
    <x v="0"/>
    <m/>
    <m/>
    <x v="1"/>
    <x v="1"/>
    <s v="Pre Arrival"/>
  </r>
  <r>
    <x v="31"/>
    <s v="M03000315"/>
    <s v="N0000000315"/>
    <s v="Initial"/>
    <x v="0"/>
    <x v="0"/>
    <x v="2"/>
    <s v="No"/>
    <s v="MOGO"/>
    <x v="0"/>
    <m/>
    <s v="Emailed for Update"/>
    <x v="2"/>
    <x v="2"/>
    <s v="Pre Arrival"/>
  </r>
  <r>
    <x v="101"/>
    <s v="M03000337"/>
    <s v="N0000000337"/>
    <s v="Initial"/>
    <x v="0"/>
    <x v="0"/>
    <x v="7"/>
    <s v="No"/>
    <s v="No"/>
    <x v="0"/>
    <m/>
    <m/>
    <x v="12"/>
    <x v="12"/>
    <s v="Pre Arrival"/>
  </r>
  <r>
    <x v="48"/>
    <s v="M03000204"/>
    <s v="N0000000204"/>
    <s v="Initial"/>
    <x v="0"/>
    <x v="1"/>
    <x v="9"/>
    <s v="No"/>
    <s v="No"/>
    <x v="1"/>
    <m/>
    <m/>
    <x v="2"/>
    <x v="2"/>
    <s v="Pre Arrival"/>
  </r>
  <r>
    <x v="32"/>
    <s v="M03000141"/>
    <s v="N0000000141"/>
    <s v="Initial"/>
    <x v="0"/>
    <x v="1"/>
    <x v="11"/>
    <s v="No"/>
    <s v="MOGO"/>
    <x v="0"/>
    <s v="Yes"/>
    <m/>
    <x v="1"/>
    <x v="1"/>
    <s v="Pre Arrival"/>
  </r>
  <r>
    <x v="12"/>
    <s v="M03000045"/>
    <s v="N0000000045"/>
    <s v="Initial"/>
    <x v="0"/>
    <x v="1"/>
    <x v="25"/>
    <s v="No"/>
    <s v="No"/>
    <x v="1"/>
    <m/>
    <m/>
    <x v="5"/>
    <x v="5"/>
    <s v="Pre Arrival"/>
  </r>
  <r>
    <x v="43"/>
    <s v="M03000243"/>
    <s v="N0000000243"/>
    <s v="Initial"/>
    <x v="0"/>
    <x v="0"/>
    <x v="7"/>
    <s v="No"/>
    <s v="No"/>
    <x v="1"/>
    <m/>
    <m/>
    <x v="5"/>
    <x v="5"/>
    <s v="Pre Arrival"/>
  </r>
  <r>
    <x v="98"/>
    <s v="M03000317"/>
    <s v="N0000000317"/>
    <s v="Initial"/>
    <x v="0"/>
    <x v="0"/>
    <x v="7"/>
    <s v="No"/>
    <s v="No"/>
    <x v="1"/>
    <m/>
    <m/>
    <x v="3"/>
    <x v="3"/>
    <s v="Pre Arrival"/>
  </r>
  <r>
    <x v="28"/>
    <s v="M03000318"/>
    <s v="N0000000318"/>
    <s v="Initial"/>
    <x v="0"/>
    <x v="1"/>
    <x v="7"/>
    <s v="Yes"/>
    <s v="No"/>
    <x v="0"/>
    <s v="Yes"/>
    <m/>
    <x v="6"/>
    <x v="6"/>
    <s v="Pre Arrival"/>
  </r>
  <r>
    <x v="64"/>
    <s v="M03000162"/>
    <s v="N0000000162"/>
    <s v="Initial"/>
    <x v="0"/>
    <x v="0"/>
    <x v="5"/>
    <s v="No"/>
    <s v="No"/>
    <x v="1"/>
    <m/>
    <m/>
    <x v="6"/>
    <x v="6"/>
    <s v="Pre Arrival"/>
  </r>
  <r>
    <x v="48"/>
    <s v="M03000113"/>
    <s v="N0000000113"/>
    <s v="Initial"/>
    <x v="0"/>
    <x v="1"/>
    <x v="5"/>
    <s v="No"/>
    <s v="No"/>
    <x v="1"/>
    <m/>
    <m/>
    <x v="2"/>
    <x v="2"/>
    <s v="Pre Arrival"/>
  </r>
  <r>
    <x v="14"/>
    <s v="M03000145"/>
    <s v="N0000000145"/>
    <s v="Initial"/>
    <x v="0"/>
    <x v="1"/>
    <x v="9"/>
    <s v="No"/>
    <s v="No"/>
    <x v="1"/>
    <m/>
    <m/>
    <x v="6"/>
    <x v="6"/>
    <s v="Pre Arrival"/>
  </r>
  <r>
    <x v="9"/>
    <s v="M03000189"/>
    <s v="N0000000189"/>
    <s v="Initial"/>
    <x v="0"/>
    <x v="0"/>
    <x v="9"/>
    <s v="No"/>
    <s v="No"/>
    <x v="0"/>
    <s v="Yes"/>
    <s v="Enrolled"/>
    <x v="3"/>
    <x v="3"/>
    <s v="Pre Arrival"/>
  </r>
  <r>
    <x v="102"/>
    <s v="M03000123"/>
    <s v="N0000000123"/>
    <s v="Initial"/>
    <x v="0"/>
    <x v="0"/>
    <x v="9"/>
    <s v="No"/>
    <s v="MOGO"/>
    <x v="0"/>
    <s v="Yes"/>
    <s v="Enrolled"/>
    <x v="3"/>
    <x v="3"/>
    <s v="Pre Arrival"/>
  </r>
  <r>
    <x v="103"/>
    <s v="M03000087"/>
    <s v="N0000000087"/>
    <s v="Initial"/>
    <x v="0"/>
    <x v="0"/>
    <x v="6"/>
    <s v="Yes"/>
    <s v="MOGO"/>
    <x v="0"/>
    <s v="Yes"/>
    <m/>
    <x v="32"/>
    <x v="32"/>
    <s v="Pre Arrival"/>
  </r>
  <r>
    <x v="17"/>
    <s v="M03000236"/>
    <s v="N0000000236"/>
    <s v="Initial"/>
    <x v="0"/>
    <x v="1"/>
    <x v="9"/>
    <s v="No"/>
    <s v="No"/>
    <x v="0"/>
    <m/>
    <m/>
    <x v="5"/>
    <x v="5"/>
    <s v="Pre Arrival"/>
  </r>
  <r>
    <x v="12"/>
    <s v="M03000103"/>
    <s v="N0000000103"/>
    <s v="Initial"/>
    <x v="0"/>
    <x v="1"/>
    <x v="7"/>
    <s v="No"/>
    <s v="No"/>
    <x v="1"/>
    <m/>
    <m/>
    <x v="5"/>
    <x v="5"/>
    <s v="Pre Arrival"/>
  </r>
  <r>
    <x v="13"/>
    <s v="M03000012"/>
    <s v="N0000000012"/>
    <s v="Initial"/>
    <x v="0"/>
    <x v="0"/>
    <x v="16"/>
    <s v="No"/>
    <s v="No"/>
    <x v="1"/>
    <m/>
    <m/>
    <x v="5"/>
    <x v="5"/>
    <s v="Pre Arrival"/>
  </r>
  <r>
    <x v="12"/>
    <s v="M03000242"/>
    <s v="N0000000242"/>
    <s v="Initial"/>
    <x v="0"/>
    <x v="1"/>
    <x v="4"/>
    <s v="No"/>
    <s v="No"/>
    <x v="1"/>
    <m/>
    <m/>
    <x v="5"/>
    <x v="5"/>
    <s v="Pre Arrival"/>
  </r>
  <r>
    <x v="104"/>
    <s v="M03000188"/>
    <s v="N0000000188"/>
    <s v="Initial"/>
    <x v="0"/>
    <x v="1"/>
    <x v="7"/>
    <s v="Yes"/>
    <s v="No"/>
    <x v="0"/>
    <s v="Yes"/>
    <m/>
    <x v="28"/>
    <x v="28"/>
    <s v="Pre Arrival"/>
  </r>
  <r>
    <x v="52"/>
    <s v="M03000191"/>
    <s v="N0000000191"/>
    <s v="Initial"/>
    <x v="0"/>
    <x v="1"/>
    <x v="9"/>
    <s v="No"/>
    <s v="No"/>
    <x v="0"/>
    <m/>
    <m/>
    <x v="6"/>
    <x v="6"/>
    <s v="Pre Arrival"/>
  </r>
  <r>
    <x v="31"/>
    <s v="M03000350"/>
    <s v="N0000000350"/>
    <s v="Initial"/>
    <x v="0"/>
    <x v="0"/>
    <x v="7"/>
    <s v="No"/>
    <s v="No"/>
    <x v="1"/>
    <m/>
    <m/>
    <x v="2"/>
    <x v="2"/>
    <s v="Pre Arrival"/>
  </r>
  <r>
    <x v="62"/>
    <s v="M03000080"/>
    <s v="N0000000080"/>
    <s v="Initial"/>
    <x v="0"/>
    <x v="0"/>
    <x v="6"/>
    <s v="No"/>
    <s v="No"/>
    <x v="1"/>
    <m/>
    <m/>
    <x v="2"/>
    <x v="2"/>
    <s v="Pre Arrival"/>
  </r>
  <r>
    <x v="21"/>
    <s v="M03000286"/>
    <s v="N0000000286"/>
    <s v="Initial"/>
    <x v="0"/>
    <x v="1"/>
    <x v="24"/>
    <s v="No"/>
    <s v="No"/>
    <x v="0"/>
    <m/>
    <m/>
    <x v="5"/>
    <x v="5"/>
    <s v="Pre Arrival"/>
  </r>
  <r>
    <x v="22"/>
    <s v="M03000211"/>
    <s v="N0000000211"/>
    <s v="Initial"/>
    <x v="0"/>
    <x v="0"/>
    <x v="27"/>
    <s v="No"/>
    <s v="No"/>
    <x v="1"/>
    <m/>
    <m/>
    <x v="6"/>
    <x v="6"/>
    <s v="Pre Arrival"/>
  </r>
  <r>
    <x v="2"/>
    <s v="M03000221"/>
    <s v="N0000000221"/>
    <s v="Initial"/>
    <x v="0"/>
    <x v="0"/>
    <x v="28"/>
    <s v="No"/>
    <s v="No"/>
    <x v="1"/>
    <m/>
    <m/>
    <x v="1"/>
    <x v="1"/>
    <s v="Pre Arrival"/>
  </r>
  <r>
    <x v="77"/>
    <s v="M03000129"/>
    <s v="N0000000129"/>
    <s v="Initial"/>
    <x v="0"/>
    <x v="1"/>
    <x v="9"/>
    <s v="No"/>
    <s v="MOGO"/>
    <x v="1"/>
    <m/>
    <m/>
    <x v="0"/>
    <x v="0"/>
    <s v="Pre Arrival"/>
  </r>
  <r>
    <x v="10"/>
    <s v="M03000161"/>
    <s v="N0000000161"/>
    <s v="Initial"/>
    <x v="0"/>
    <x v="0"/>
    <x v="10"/>
    <s v="Yes"/>
    <s v="No"/>
    <x v="1"/>
    <m/>
    <m/>
    <x v="1"/>
    <x v="1"/>
    <s v="Pre Arrival"/>
  </r>
  <r>
    <x v="26"/>
    <s v="M03000247"/>
    <s v="N0000000247"/>
    <s v="Initial"/>
    <x v="0"/>
    <x v="0"/>
    <x v="19"/>
    <s v="No"/>
    <s v="No"/>
    <x v="1"/>
    <m/>
    <m/>
    <x v="5"/>
    <x v="5"/>
    <s v="Pre Arrival"/>
  </r>
  <r>
    <x v="105"/>
    <s v="M03000152"/>
    <s v="N0000000152"/>
    <s v="Initial"/>
    <x v="0"/>
    <x v="1"/>
    <x v="7"/>
    <s v="No"/>
    <s v="No"/>
    <x v="1"/>
    <m/>
    <m/>
    <x v="29"/>
    <x v="29"/>
    <s v="Pre Arrival"/>
  </r>
  <r>
    <x v="3"/>
    <s v="M03000347"/>
    <s v="N0000000347"/>
    <s v="Initial"/>
    <x v="0"/>
    <x v="1"/>
    <x v="5"/>
    <s v="No"/>
    <s v="No"/>
    <x v="0"/>
    <m/>
    <m/>
    <x v="1"/>
    <x v="1"/>
    <s v="Pre Arrival"/>
  </r>
  <r>
    <x v="106"/>
    <s v="M03000187"/>
    <s v="N0000000187"/>
    <s v="Initial"/>
    <x v="0"/>
    <x v="1"/>
    <x v="7"/>
    <s v="No"/>
    <s v="No"/>
    <x v="0"/>
    <m/>
    <m/>
    <x v="9"/>
    <x v="9"/>
    <s v="Pre Arrival"/>
  </r>
  <r>
    <x v="15"/>
    <s v="M03000272"/>
    <s v="N0000000272"/>
    <s v="Initial"/>
    <x v="0"/>
    <x v="1"/>
    <x v="6"/>
    <s v="No"/>
    <s v="No"/>
    <x v="1"/>
    <m/>
    <m/>
    <x v="2"/>
    <x v="2"/>
    <s v="Pre Arrival"/>
  </r>
  <r>
    <x v="71"/>
    <s v="M03000329"/>
    <s v="N0000000329"/>
    <s v="Initial"/>
    <x v="0"/>
    <x v="1"/>
    <x v="5"/>
    <s v="Yes"/>
    <s v="No"/>
    <x v="0"/>
    <s v="Denied"/>
    <m/>
    <x v="8"/>
    <x v="8"/>
    <s v="Pre Arrival"/>
  </r>
  <r>
    <x v="7"/>
    <s v="M03000183"/>
    <s v="N0000000183"/>
    <s v="Initial"/>
    <x v="0"/>
    <x v="1"/>
    <x v="31"/>
    <s v="No"/>
    <s v="No"/>
    <x v="1"/>
    <m/>
    <m/>
    <x v="2"/>
    <x v="2"/>
    <s v="Pre Arrival"/>
  </r>
  <r>
    <x v="69"/>
    <s v="M03000075"/>
    <s v="N0000000075"/>
    <s v="Initial"/>
    <x v="0"/>
    <x v="0"/>
    <x v="23"/>
    <s v="No"/>
    <s v="MOGO"/>
    <x v="0"/>
    <m/>
    <m/>
    <x v="3"/>
    <x v="3"/>
    <s v="Pre Arrival"/>
  </r>
  <r>
    <x v="41"/>
    <s v="M03000301"/>
    <s v="N0000000301"/>
    <s v="Initial"/>
    <x v="0"/>
    <x v="1"/>
    <x v="9"/>
    <s v="No"/>
    <s v="No"/>
    <x v="1"/>
    <m/>
    <m/>
    <x v="6"/>
    <x v="6"/>
    <s v="Pre Arrival"/>
  </r>
  <r>
    <x v="62"/>
    <s v="M03000117"/>
    <s v="N0000000117"/>
    <s v="Initial"/>
    <x v="0"/>
    <x v="0"/>
    <x v="5"/>
    <s v="No"/>
    <s v="No"/>
    <x v="1"/>
    <m/>
    <m/>
    <x v="2"/>
    <x v="2"/>
    <s v="Pre Arrival"/>
  </r>
  <r>
    <x v="4"/>
    <s v="M03000289"/>
    <s v="N0000000289"/>
    <s v="Initial"/>
    <x v="0"/>
    <x v="0"/>
    <x v="7"/>
    <s v="Yes"/>
    <s v="MOGO"/>
    <x v="0"/>
    <m/>
    <m/>
    <x v="1"/>
    <x v="1"/>
    <s v="Pre Arrival"/>
  </r>
  <r>
    <x v="38"/>
    <s v="M03000073"/>
    <s v="N0000000073"/>
    <s v="Initial"/>
    <x v="0"/>
    <x v="1"/>
    <x v="9"/>
    <s v="No"/>
    <s v="No"/>
    <x v="1"/>
    <m/>
    <m/>
    <x v="2"/>
    <x v="2"/>
    <s v="Pre Arrival"/>
  </r>
  <r>
    <x v="4"/>
    <s v="M03000294"/>
    <s v="N0000000294"/>
    <s v="Initial"/>
    <x v="0"/>
    <x v="0"/>
    <x v="9"/>
    <s v="No"/>
    <s v="No"/>
    <x v="1"/>
    <m/>
    <m/>
    <x v="1"/>
    <x v="1"/>
    <s v="Pre Arrival"/>
  </r>
  <r>
    <x v="107"/>
    <s v="M03000355"/>
    <s v="N0000000355"/>
    <s v="Initial"/>
    <x v="0"/>
    <x v="0"/>
    <x v="1"/>
    <s v="No"/>
    <s v="MOGO"/>
    <x v="1"/>
    <m/>
    <m/>
    <x v="12"/>
    <x v="12"/>
    <s v="Pre Arrival"/>
  </r>
  <r>
    <x v="108"/>
    <s v="M03000284"/>
    <s v="N0000000284"/>
    <s v="Initial"/>
    <x v="0"/>
    <x v="1"/>
    <x v="5"/>
    <s v="Yes"/>
    <s v="No"/>
    <x v="0"/>
    <m/>
    <m/>
    <x v="14"/>
    <x v="14"/>
    <s v="Pre Arrival"/>
  </r>
  <r>
    <x v="84"/>
    <s v="M03000096"/>
    <s v="N0000000096"/>
    <s v="Initial"/>
    <x v="0"/>
    <x v="1"/>
    <x v="1"/>
    <s v="No"/>
    <s v="No"/>
    <x v="0"/>
    <s v="Yes"/>
    <m/>
    <x v="11"/>
    <x v="11"/>
    <s v="Pre Arrival"/>
  </r>
  <r>
    <x v="109"/>
    <s v="M03000312"/>
    <s v="N0000000312"/>
    <s v="Initial"/>
    <x v="0"/>
    <x v="0"/>
    <x v="1"/>
    <s v="No"/>
    <s v="No"/>
    <x v="0"/>
    <s v="Yes"/>
    <m/>
    <x v="30"/>
    <x v="30"/>
    <s v="Pre Arrival"/>
  </r>
  <r>
    <x v="17"/>
    <s v="M03000198"/>
    <s v="N0000000198"/>
    <s v="Initial"/>
    <x v="0"/>
    <x v="1"/>
    <x v="11"/>
    <s v="Yes"/>
    <s v="No"/>
    <x v="0"/>
    <s v="Yes"/>
    <m/>
    <x v="5"/>
    <x v="5"/>
    <s v="Pre Arrival"/>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4">
  <r>
    <s v="Kojo, Asante"/>
    <s v="M03000205"/>
    <s v="N0000000205"/>
    <s v="Initial"/>
    <s v="F-1"/>
    <x v="0"/>
    <x v="0"/>
    <x v="0"/>
    <s v="No"/>
    <x v="0"/>
    <s v="Yes"/>
    <m/>
    <s v="Ghana"/>
    <s v="Ghana"/>
    <s v="Pre Arrival"/>
  </r>
  <r>
    <s v="Kofi, Boateng"/>
    <s v="M03000348"/>
    <s v="N0000000348"/>
    <s v="Initial"/>
    <s v="F-1"/>
    <x v="0"/>
    <x v="1"/>
    <x v="1"/>
    <s v="No"/>
    <x v="1"/>
    <m/>
    <m/>
    <s v="Ghana"/>
    <s v="Ghana"/>
    <s v="Pre Arrival"/>
  </r>
  <r>
    <s v="Ali, Nayeem"/>
    <s v="M03000097"/>
    <s v="N0000000097"/>
    <s v="Initial"/>
    <s v="F-1"/>
    <x v="0"/>
    <x v="1"/>
    <x v="1"/>
    <s v="No"/>
    <x v="0"/>
    <s v="Yes"/>
    <s v="Enrolled"/>
    <s v="Bangladesh"/>
    <s v="Bangladesh"/>
    <s v="Pre Arrival"/>
  </r>
  <r>
    <s v="Sultana, Nusrat"/>
    <s v="M03000024"/>
    <s v="N0000000024"/>
    <s v="Initial"/>
    <s v="F-1"/>
    <x v="1"/>
    <x v="2"/>
    <x v="1"/>
    <s v="MOGO"/>
    <x v="0"/>
    <m/>
    <m/>
    <s v="Bangladesh"/>
    <s v="Bangladesh"/>
    <s v="Pre Arrival"/>
  </r>
  <r>
    <s v="Kojo, Asante"/>
    <s v="M03000020"/>
    <s v="N0000000020"/>
    <s v="Initial"/>
    <s v="F-1"/>
    <x v="0"/>
    <x v="3"/>
    <x v="1"/>
    <s v="No"/>
    <x v="1"/>
    <m/>
    <m/>
    <s v="Ghana"/>
    <s v="Ghana"/>
    <s v="Pre Arrival"/>
  </r>
  <r>
    <s v="Khan, Rafi"/>
    <s v="M03000274"/>
    <s v="N0000000274"/>
    <s v="Initial"/>
    <s v="F-1"/>
    <x v="0"/>
    <x v="4"/>
    <x v="1"/>
    <s v="No"/>
    <x v="1"/>
    <m/>
    <m/>
    <s v="Bangladesh"/>
    <s v="Bangladesh"/>
    <s v="Pre Arrival"/>
  </r>
  <r>
    <s v="Sultana, Nusrat"/>
    <s v="M03000016"/>
    <s v="N0000000016"/>
    <s v="Initial"/>
    <s v="F-1"/>
    <x v="1"/>
    <x v="5"/>
    <x v="1"/>
    <s v="MOGO"/>
    <x v="1"/>
    <m/>
    <m/>
    <s v="Bangladesh"/>
    <s v="Bangladesh"/>
    <s v="Pre Arrival"/>
  </r>
  <r>
    <s v="Khan, Rafi"/>
    <s v="M03000212"/>
    <s v="N0000000212"/>
    <s v="Initial"/>
    <s v="F-1"/>
    <x v="0"/>
    <x v="6"/>
    <x v="1"/>
    <s v="No"/>
    <x v="1"/>
    <m/>
    <m/>
    <s v="Bangladesh"/>
    <s v="Bangladesh"/>
    <s v="Pre Arrival"/>
  </r>
  <r>
    <s v="Kwame, Mensah"/>
    <s v="M03000064"/>
    <s v="N0000000064"/>
    <s v="Initial"/>
    <s v="F-1"/>
    <x v="0"/>
    <x v="4"/>
    <x v="0"/>
    <s v="No"/>
    <x v="1"/>
    <m/>
    <m/>
    <s v="Ghana"/>
    <s v="Ghana"/>
    <s v="Pre Arrival"/>
  </r>
  <r>
    <s v="Suresh, Gupta"/>
    <s v="M03000195"/>
    <s v="N0000000195"/>
    <s v="Initial"/>
    <s v="F-1"/>
    <x v="0"/>
    <x v="7"/>
    <x v="1"/>
    <s v="No"/>
    <x v="1"/>
    <m/>
    <m/>
    <s v="India"/>
    <s v="India"/>
    <s v="Pre Arrival"/>
  </r>
  <r>
    <s v="Priya, Sharma"/>
    <s v="M03000124"/>
    <s v="N0000000124"/>
    <s v="Initial"/>
    <s v="F-1"/>
    <x v="1"/>
    <x v="7"/>
    <x v="1"/>
    <s v="No"/>
    <x v="0"/>
    <m/>
    <s v="Emailed for Update"/>
    <s v="India"/>
    <s v="India"/>
    <s v="Pre Arrival"/>
  </r>
  <r>
    <s v="Anil, Patel"/>
    <s v="M03000216"/>
    <s v="N0000000216"/>
    <s v="Initial"/>
    <s v="F-1"/>
    <x v="0"/>
    <x v="8"/>
    <x v="1"/>
    <s v="MOGO"/>
    <x v="1"/>
    <m/>
    <m/>
    <s v="India"/>
    <s v="India"/>
    <s v="Pre Arrival"/>
  </r>
  <r>
    <s v="Gurung, Suresh"/>
    <s v="M03000089"/>
    <s v="N0000000089"/>
    <s v="Initial"/>
    <s v="F-1"/>
    <x v="0"/>
    <x v="9"/>
    <x v="1"/>
    <s v="MOGO"/>
    <x v="0"/>
    <m/>
    <s v="Deferred SP26"/>
    <s v="Nepal"/>
    <s v="Nepal"/>
    <s v="Pre Arrival"/>
  </r>
  <r>
    <s v="Hossain, Imran"/>
    <s v="M03000093"/>
    <s v="N0000000093"/>
    <s v="Initial"/>
    <s v="F-1"/>
    <x v="0"/>
    <x v="7"/>
    <x v="0"/>
    <s v="No"/>
    <x v="0"/>
    <s v="Yes"/>
    <m/>
    <s v="Bangladesh"/>
    <s v="Bangladesh"/>
    <s v="Pre Arrival"/>
  </r>
  <r>
    <s v="Phiri, Ruth"/>
    <s v="M03000184"/>
    <s v="N0000000184"/>
    <s v="Initial"/>
    <s v="F-1"/>
    <x v="1"/>
    <x v="10"/>
    <x v="1"/>
    <s v="No"/>
    <x v="0"/>
    <s v="Yes"/>
    <s v="Transfer-Out"/>
    <s v="Zambia"/>
    <s v="Zambia"/>
    <s v="Pre Arrival"/>
  </r>
  <r>
    <s v="Khan, Rafi"/>
    <s v="M03000022"/>
    <s v="N0000000022"/>
    <s v="Initial"/>
    <s v="F-1"/>
    <x v="0"/>
    <x v="6"/>
    <x v="0"/>
    <s v="No"/>
    <x v="1"/>
    <m/>
    <m/>
    <s v="Bangladesh"/>
    <s v="Bangladesh"/>
    <s v="Pre Arrival"/>
  </r>
  <r>
    <s v="Funke, Ojo"/>
    <s v="M03000058"/>
    <s v="N0000000058"/>
    <s v="Initial"/>
    <s v="F-1"/>
    <x v="1"/>
    <x v="11"/>
    <x v="0"/>
    <s v="No"/>
    <x v="0"/>
    <m/>
    <m/>
    <s v="Nigeria"/>
    <s v="Nigeria"/>
    <s v="Pre Arrival"/>
  </r>
  <r>
    <s v="Tunde, Balogun"/>
    <s v="M03000257"/>
    <s v="N0000000257"/>
    <s v="Initial"/>
    <s v="F-1"/>
    <x v="0"/>
    <x v="12"/>
    <x v="1"/>
    <s v="No"/>
    <x v="1"/>
    <m/>
    <m/>
    <s v="Nigeria"/>
    <s v="Nigeria"/>
    <s v="Pre Arrival"/>
  </r>
  <r>
    <s v="Njeri, Ann"/>
    <s v="M03000176"/>
    <s v="N0000000176"/>
    <s v="Initial"/>
    <s v="F-1"/>
    <x v="1"/>
    <x v="7"/>
    <x v="1"/>
    <s v="No"/>
    <x v="1"/>
    <m/>
    <m/>
    <s v="Kenya"/>
    <s v="Kenya"/>
    <s v="Pre Arrival"/>
  </r>
  <r>
    <s v="Anita, Patel"/>
    <s v="M03000296"/>
    <s v="N0000000296"/>
    <s v="Initial"/>
    <s v="F-1"/>
    <x v="1"/>
    <x v="13"/>
    <x v="1"/>
    <s v="MOGO"/>
    <x v="1"/>
    <m/>
    <m/>
    <s v="India"/>
    <s v="India"/>
    <s v="Pre Arrival"/>
  </r>
  <r>
    <s v="Olu, Adewale"/>
    <s v="M03000305"/>
    <s v="N0000000305"/>
    <s v="Initial"/>
    <s v="F-1"/>
    <x v="0"/>
    <x v="14"/>
    <x v="0"/>
    <s v="No"/>
    <x v="0"/>
    <m/>
    <m/>
    <s v="Nigeria"/>
    <s v="Nigeria"/>
    <s v="Pre Arrival"/>
  </r>
  <r>
    <s v="Yetunde, Adeyemi"/>
    <s v="M03000018"/>
    <s v="N0000000018"/>
    <s v="Initial"/>
    <s v="F-1"/>
    <x v="1"/>
    <x v="7"/>
    <x v="1"/>
    <s v="MOGO"/>
    <x v="1"/>
    <m/>
    <m/>
    <s v="Nigeria"/>
    <s v="Nigeria"/>
    <s v="Pre Arrival"/>
  </r>
  <r>
    <s v="Kamau, Peter"/>
    <s v="M03000244"/>
    <s v="N0000000244"/>
    <s v="Initial"/>
    <s v="F-1"/>
    <x v="0"/>
    <x v="5"/>
    <x v="1"/>
    <s v="No"/>
    <x v="1"/>
    <m/>
    <m/>
    <s v="Kenya"/>
    <s v="Kenya"/>
    <s v="Pre Arrival"/>
  </r>
  <r>
    <s v="Esi, Owusu"/>
    <s v="M03000007"/>
    <s v="N0000000007"/>
    <s v="Initial"/>
    <s v="F-1"/>
    <x v="1"/>
    <x v="7"/>
    <x v="1"/>
    <s v="No"/>
    <x v="0"/>
    <m/>
    <m/>
    <s v="Ghana"/>
    <s v="Ghana"/>
    <s v="Pre Arrival"/>
  </r>
  <r>
    <s v="Rahman, Hasan"/>
    <s v="M03000290"/>
    <s v="N0000000290"/>
    <s v="Initial"/>
    <s v="F-1"/>
    <x v="0"/>
    <x v="9"/>
    <x v="1"/>
    <s v="No"/>
    <x v="1"/>
    <m/>
    <m/>
    <s v="Bangladesh"/>
    <s v="Bangladesh"/>
    <s v="Pre Arrival"/>
  </r>
  <r>
    <s v="Amaka, Obi"/>
    <s v="M03000234"/>
    <s v="N0000000234"/>
    <s v="Initial"/>
    <s v="F-1"/>
    <x v="1"/>
    <x v="15"/>
    <x v="0"/>
    <s v="No"/>
    <x v="0"/>
    <s v="Yes"/>
    <m/>
    <s v="Nigeria"/>
    <s v="Nigeria"/>
    <s v="Pre Arrival"/>
  </r>
  <r>
    <s v="Kiptoo, Daniel"/>
    <s v="M03000174"/>
    <s v="N0000000174"/>
    <s v="Initial"/>
    <s v="F-1"/>
    <x v="0"/>
    <x v="6"/>
    <x v="1"/>
    <s v="No"/>
    <x v="1"/>
    <m/>
    <m/>
    <s v="Kenya"/>
    <s v="Kenya"/>
    <s v="Pre Arrival"/>
  </r>
  <r>
    <s v="Anil, Patel"/>
    <s v="M03000320"/>
    <s v="N0000000320"/>
    <s v="Initial"/>
    <s v="F-1"/>
    <x v="0"/>
    <x v="7"/>
    <x v="1"/>
    <s v="No"/>
    <x v="1"/>
    <m/>
    <m/>
    <s v="India"/>
    <s v="India"/>
    <s v="Pre Arrival"/>
  </r>
  <r>
    <s v="Camila, Rocha"/>
    <s v="M03000361"/>
    <s v="N0000000361"/>
    <s v="Initial"/>
    <s v="F-1"/>
    <x v="1"/>
    <x v="3"/>
    <x v="0"/>
    <s v="No"/>
    <x v="0"/>
    <s v="Yes"/>
    <m/>
    <s v="Brazil"/>
    <s v="Brazil"/>
    <s v="Pre Arrival"/>
  </r>
  <r>
    <s v="Ali, Nayeem"/>
    <s v="M03000196"/>
    <s v="N0000000196"/>
    <s v="Initial"/>
    <s v="F-1"/>
    <x v="0"/>
    <x v="9"/>
    <x v="1"/>
    <s v="No"/>
    <x v="1"/>
    <m/>
    <m/>
    <s v="Bangladesh"/>
    <s v="Bangladesh"/>
    <s v="Pre Arrival"/>
  </r>
  <r>
    <s v="Gabriel, Santos"/>
    <s v="M03000356"/>
    <s v="N0000000356"/>
    <s v="Initial"/>
    <s v="F-1"/>
    <x v="0"/>
    <x v="9"/>
    <x v="1"/>
    <s v="No"/>
    <x v="0"/>
    <s v="Yes"/>
    <m/>
    <s v="Brazil"/>
    <s v="Brazil"/>
    <s v="Pre Arrival"/>
  </r>
  <r>
    <s v="Ahmadi, Ladan"/>
    <s v="M03000050"/>
    <s v="N0000000050"/>
    <s v="Initial"/>
    <s v="F-1"/>
    <x v="1"/>
    <x v="4"/>
    <x v="1"/>
    <s v="No"/>
    <x v="1"/>
    <m/>
    <m/>
    <s v="Iran"/>
    <s v="Iran"/>
    <m/>
  </r>
  <r>
    <s v="Yetunde, Adeyemi"/>
    <s v="M03000206"/>
    <s v="N0000000206"/>
    <s v="Initial"/>
    <s v="F-1"/>
    <x v="1"/>
    <x v="5"/>
    <x v="1"/>
    <s v="No"/>
    <x v="1"/>
    <m/>
    <m/>
    <s v="Nigeria"/>
    <s v="Nigeria"/>
    <s v="Pre Arrival"/>
  </r>
  <r>
    <s v="Hossain, Imran"/>
    <s v="M03000005"/>
    <s v="N0000000005"/>
    <s v="Initial"/>
    <s v="F-1"/>
    <x v="0"/>
    <x v="5"/>
    <x v="1"/>
    <s v="No"/>
    <x v="1"/>
    <m/>
    <m/>
    <s v="Bangladesh"/>
    <s v="Bangladesh"/>
    <s v="Pre Arrival"/>
  </r>
  <r>
    <s v="Chinedu, Okafor"/>
    <s v="M03000043"/>
    <s v="N0000000043"/>
    <s v="Initial"/>
    <s v="F-1"/>
    <x v="0"/>
    <x v="7"/>
    <x v="1"/>
    <s v="No"/>
    <x v="1"/>
    <m/>
    <m/>
    <s v="Nigeria"/>
    <s v="Nigeria"/>
    <s v="Pre Arrival"/>
  </r>
  <r>
    <s v="Adhikari, Nisha"/>
    <s v="M03000325"/>
    <s v="N0000000325"/>
    <s v="Initial"/>
    <s v="F-1"/>
    <x v="1"/>
    <x v="16"/>
    <x v="1"/>
    <s v="No"/>
    <x v="1"/>
    <m/>
    <m/>
    <s v="Nepal"/>
    <s v="Nepal"/>
    <s v="Pre Arrival"/>
  </r>
  <r>
    <s v="Achieng, Grace"/>
    <s v="M03000250"/>
    <s v="N0000000250"/>
    <s v="Initial"/>
    <s v="F-1"/>
    <x v="1"/>
    <x v="17"/>
    <x v="1"/>
    <s v="No"/>
    <x v="1"/>
    <m/>
    <m/>
    <s v="Kenya"/>
    <s v="Kenya"/>
    <s v="Pre Arrival"/>
  </r>
  <r>
    <s v="Kamau, Peter"/>
    <s v="M03000214"/>
    <s v="N0000000214"/>
    <s v="Initial"/>
    <s v="F-1"/>
    <x v="0"/>
    <x v="9"/>
    <x v="1"/>
    <s v="MOGO"/>
    <x v="1"/>
    <m/>
    <m/>
    <s v="Kenya"/>
    <s v="Kenya"/>
    <s v="Pre Arrival"/>
  </r>
  <r>
    <s v="Nguyen, Lan"/>
    <s v="M03000088"/>
    <s v="N0000000088"/>
    <s v="Initial"/>
    <s v="F-1"/>
    <x v="1"/>
    <x v="7"/>
    <x v="1"/>
    <s v="No"/>
    <x v="0"/>
    <s v="Yes"/>
    <m/>
    <s v="Vietnam"/>
    <s v="Vietnam"/>
    <s v="Pre Arrival"/>
  </r>
  <r>
    <s v="Begum, Aisha"/>
    <s v="M03000279"/>
    <s v="N0000000279"/>
    <s v="Initial"/>
    <s v="F-1"/>
    <x v="1"/>
    <x v="16"/>
    <x v="1"/>
    <s v="No"/>
    <x v="1"/>
    <m/>
    <m/>
    <s v="Bangladesh"/>
    <s v="Bangladesh"/>
    <s v="Pre Arrival"/>
  </r>
  <r>
    <s v="Raj, Kumar"/>
    <s v="M03000067"/>
    <s v="N0000000067"/>
    <s v="Initial"/>
    <s v="F-1"/>
    <x v="0"/>
    <x v="9"/>
    <x v="1"/>
    <s v="MOGO"/>
    <x v="1"/>
    <m/>
    <m/>
    <s v="India"/>
    <s v="India"/>
    <s v="Pre Arrival"/>
  </r>
  <r>
    <s v="Kiptoo, Daniel"/>
    <s v="M03000340"/>
    <s v="N0000000340"/>
    <s v="Initial"/>
    <s v="F-1"/>
    <x v="0"/>
    <x v="7"/>
    <x v="0"/>
    <s v="No"/>
    <x v="0"/>
    <s v="Yes"/>
    <m/>
    <s v="Kenya"/>
    <s v="Kenya"/>
    <s v="Pre Arrival"/>
  </r>
  <r>
    <s v="Anil, Patel"/>
    <s v="M03000091"/>
    <s v="N0000000091"/>
    <s v="Initial"/>
    <s v="F-1"/>
    <x v="0"/>
    <x v="5"/>
    <x v="1"/>
    <s v="MOGO"/>
    <x v="1"/>
    <m/>
    <m/>
    <s v="India"/>
    <s v="India"/>
    <s v="Pre Arrival"/>
  </r>
  <r>
    <s v="Achieng, Grace"/>
    <s v="M03000192"/>
    <s v="N0000000192"/>
    <s v="Initial"/>
    <s v="F-1"/>
    <x v="1"/>
    <x v="7"/>
    <x v="1"/>
    <s v="MOGO"/>
    <x v="1"/>
    <m/>
    <m/>
    <s v="Kenya"/>
    <s v="Kenya"/>
    <s v="Pre Arrival"/>
  </r>
  <r>
    <s v="Rahman, Fatima"/>
    <s v="M03000131"/>
    <s v="N0000000131"/>
    <s v="Initial"/>
    <s v="F-1"/>
    <x v="1"/>
    <x v="18"/>
    <x v="1"/>
    <s v="No"/>
    <x v="0"/>
    <m/>
    <m/>
    <s v="Bangladesh"/>
    <s v="Bangladesh"/>
    <s v="Pre Arrival"/>
  </r>
  <r>
    <s v="Suresh, Gupta"/>
    <s v="M03000326"/>
    <s v="N0000000326"/>
    <s v="Initial"/>
    <s v="F-1"/>
    <x v="0"/>
    <x v="5"/>
    <x v="1"/>
    <s v="No"/>
    <x v="1"/>
    <m/>
    <m/>
    <s v="India"/>
    <s v="India"/>
    <s v="Pre Arrival"/>
  </r>
  <r>
    <s v="Mwangi, Joseph"/>
    <s v="M03000180"/>
    <s v="N0000000180"/>
    <s v="Initial"/>
    <s v="F-1"/>
    <x v="0"/>
    <x v="9"/>
    <x v="1"/>
    <s v="No"/>
    <x v="0"/>
    <m/>
    <m/>
    <s v="Kenya"/>
    <s v="Kenya"/>
    <s v="Pre Arrival"/>
  </r>
  <r>
    <s v="Esi, Owusu"/>
    <s v="M03000017"/>
    <s v="N0000000017"/>
    <s v="Initial"/>
    <s v="F-1"/>
    <x v="1"/>
    <x v="4"/>
    <x v="1"/>
    <s v="No"/>
    <x v="1"/>
    <m/>
    <m/>
    <s v="Ghana"/>
    <s v="Ghana"/>
    <s v="Pre Arrival"/>
  </r>
  <r>
    <s v="Anil, Patel"/>
    <s v="M03000190"/>
    <s v="N0000000190"/>
    <s v="Initial"/>
    <s v="F-1"/>
    <x v="0"/>
    <x v="6"/>
    <x v="1"/>
    <s v="No"/>
    <x v="0"/>
    <m/>
    <m/>
    <s v="India"/>
    <s v="India"/>
    <s v="Pre Arrival"/>
  </r>
  <r>
    <s v="Mwangi, Joseph"/>
    <s v="M03000239"/>
    <s v="N0000000239"/>
    <s v="Initial"/>
    <s v="F-1"/>
    <x v="0"/>
    <x v="7"/>
    <x v="1"/>
    <s v="No"/>
    <x v="1"/>
    <m/>
    <m/>
    <s v="Kenya"/>
    <s v="Kenya"/>
    <s v="Pre Arrival"/>
  </r>
  <r>
    <s v="Tunde, Balogun"/>
    <s v="M03000066"/>
    <s v="N0000000066"/>
    <s v="Initial"/>
    <s v="F-1"/>
    <x v="0"/>
    <x v="7"/>
    <x v="1"/>
    <s v="MOGO"/>
    <x v="0"/>
    <m/>
    <s v="Deferred SP26"/>
    <s v="Nigeria"/>
    <s v="Nigeria"/>
    <s v="Pre Arrival"/>
  </r>
  <r>
    <s v="Akua, Addo"/>
    <s v="M03000037"/>
    <s v="N0000000037"/>
    <s v="Initial"/>
    <s v="F-1"/>
    <x v="1"/>
    <x v="7"/>
    <x v="1"/>
    <s v="MOGO"/>
    <x v="0"/>
    <m/>
    <m/>
    <s v="Ghana"/>
    <s v="Ghana"/>
    <s v="Pre Arrival"/>
  </r>
  <r>
    <s v="Chioma, Nwosu"/>
    <s v="M03000042"/>
    <s v="N0000000042"/>
    <s v="Initial"/>
    <s v="F-1"/>
    <x v="1"/>
    <x v="9"/>
    <x v="0"/>
    <s v="No"/>
    <x v="1"/>
    <m/>
    <m/>
    <s v="Nigeria"/>
    <s v="Nigeria"/>
    <s v="Pre Arrival"/>
  </r>
  <r>
    <s v="Mwangi, Grace"/>
    <s v="M03000128"/>
    <s v="N0000000128"/>
    <s v="Initial"/>
    <s v="F-1"/>
    <x v="1"/>
    <x v="16"/>
    <x v="1"/>
    <s v="No"/>
    <x v="0"/>
    <m/>
    <m/>
    <s v="Tanzania"/>
    <s v="Tanzania"/>
    <s v="Pre Arrival"/>
  </r>
  <r>
    <s v="Liu, Yan"/>
    <s v="M03000364"/>
    <s v="N0000000364"/>
    <s v="Initial"/>
    <s v="F-1"/>
    <x v="1"/>
    <x v="3"/>
    <x v="1"/>
    <s v="No"/>
    <x v="0"/>
    <s v="Yes"/>
    <m/>
    <s v="China"/>
    <s v="China"/>
    <s v="Pre Arrival"/>
  </r>
  <r>
    <s v="Neha, Gupta"/>
    <s v="M03000197"/>
    <s v="N0000000197"/>
    <s v="Initial"/>
    <s v="F-1"/>
    <x v="1"/>
    <x v="5"/>
    <x v="1"/>
    <s v="MOGO/REFUND"/>
    <x v="1"/>
    <m/>
    <m/>
    <s v="India"/>
    <s v="India"/>
    <s v="Pre Arrival"/>
  </r>
  <r>
    <s v="Njeri, Ann"/>
    <s v="M03000328"/>
    <s v="N0000000328"/>
    <s v="Initial"/>
    <s v="F-1"/>
    <x v="1"/>
    <x v="5"/>
    <x v="1"/>
    <s v="MOGO"/>
    <x v="0"/>
    <m/>
    <m/>
    <s v="Kenya"/>
    <s v="Kenya"/>
    <s v="Pre Arrival"/>
  </r>
  <r>
    <s v="Divya, Singh"/>
    <s v="M03000082"/>
    <s v="N0000000082"/>
    <s v="Initial"/>
    <s v="F-1"/>
    <x v="1"/>
    <x v="7"/>
    <x v="1"/>
    <s v="No"/>
    <x v="1"/>
    <m/>
    <m/>
    <s v="India"/>
    <s v="India"/>
    <s v="Pre Arrival"/>
  </r>
  <r>
    <s v="Ahmed, Saad"/>
    <s v="M03000327"/>
    <s v="N0000000327"/>
    <s v="Initial"/>
    <s v="F-1"/>
    <x v="0"/>
    <x v="7"/>
    <x v="1"/>
    <s v="MOGO"/>
    <x v="0"/>
    <s v="Yes"/>
    <s v="Enrolled"/>
    <s v="Pakistan"/>
    <s v="Pakistan"/>
    <s v="Pre Arrival"/>
  </r>
  <r>
    <s v="Wanjiru, Mary"/>
    <s v="M03000057"/>
    <s v="N0000000057"/>
    <s v="Initial"/>
    <s v="F-1"/>
    <x v="1"/>
    <x v="2"/>
    <x v="1"/>
    <s v="No"/>
    <x v="1"/>
    <m/>
    <m/>
    <s v="Kenya"/>
    <s v="Kenya"/>
    <s v="Pre Arrival"/>
  </r>
  <r>
    <s v="Olu, Adewale"/>
    <s v="M03000041"/>
    <s v="N0000000041"/>
    <s v="Initial"/>
    <s v="F-1"/>
    <x v="0"/>
    <x v="3"/>
    <x v="1"/>
    <s v="No"/>
    <x v="0"/>
    <m/>
    <m/>
    <s v="Nigeria"/>
    <s v="Nigeria"/>
    <s v="Pre Arrival"/>
  </r>
  <r>
    <s v="Rahman, Hasan"/>
    <s v="M03000076"/>
    <s v="N0000000076"/>
    <s v="Initial"/>
    <s v="F-1"/>
    <x v="0"/>
    <x v="5"/>
    <x v="1"/>
    <s v="No"/>
    <x v="0"/>
    <m/>
    <m/>
    <s v="Bangladesh"/>
    <s v="Bangladesh"/>
    <s v="Pre Arrival"/>
  </r>
  <r>
    <s v="Afia, Mensima"/>
    <s v="M03000051"/>
    <s v="N0000000051"/>
    <s v="Initial"/>
    <s v="F-1"/>
    <x v="1"/>
    <x v="19"/>
    <x v="1"/>
    <s v="No"/>
    <x v="1"/>
    <m/>
    <m/>
    <s v="Ghana"/>
    <s v="Ghana"/>
    <s v="Pre Arrival"/>
  </r>
  <r>
    <s v="Ahmadi, Ladan"/>
    <s v="M03000120"/>
    <s v="N0000000120"/>
    <s v="Initial"/>
    <s v="F-1"/>
    <x v="1"/>
    <x v="7"/>
    <x v="0"/>
    <s v="No"/>
    <x v="0"/>
    <s v="Transfer"/>
    <m/>
    <s v="Iran"/>
    <s v="Iran"/>
    <s v="Pre Arrival"/>
  </r>
  <r>
    <s v="Amaka, Obi"/>
    <s v="M03000010"/>
    <s v="N0000000010"/>
    <s v="Initial"/>
    <s v="F-1"/>
    <x v="1"/>
    <x v="6"/>
    <x v="1"/>
    <s v="No"/>
    <x v="1"/>
    <m/>
    <m/>
    <s v="Nigeria"/>
    <s v="Nigeria"/>
    <s v="Pre Arrival"/>
  </r>
  <r>
    <s v="Chinedu, Okafor"/>
    <s v="M03000304"/>
    <s v="N0000000304"/>
    <s v="Initial"/>
    <s v="F-1"/>
    <x v="0"/>
    <x v="9"/>
    <x v="1"/>
    <s v="No"/>
    <x v="1"/>
    <m/>
    <m/>
    <s v="Nigeria"/>
    <s v="Nigeria"/>
    <s v="Pre Arrival"/>
  </r>
  <r>
    <s v="Ifeanyi, Eze"/>
    <s v="M03000251"/>
    <s v="N0000000251"/>
    <s v="Initial"/>
    <s v="F-1"/>
    <x v="0"/>
    <x v="9"/>
    <x v="0"/>
    <s v="No"/>
    <x v="1"/>
    <m/>
    <m/>
    <s v="Nigeria"/>
    <s v="Nigeria"/>
    <s v="Pre Arrival"/>
  </r>
  <r>
    <s v="Ngozi, Okeke"/>
    <s v="M03000173"/>
    <s v="N0000000173"/>
    <s v="Initial"/>
    <s v="F-1"/>
    <x v="1"/>
    <x v="6"/>
    <x v="1"/>
    <s v="MOGO"/>
    <x v="0"/>
    <m/>
    <m/>
    <s v="Nigeria"/>
    <s v="Nigeria"/>
    <s v="Pre Arrival"/>
  </r>
  <r>
    <s v="Olu, Adewale"/>
    <s v="M03000035"/>
    <s v="N0000000035"/>
    <s v="Initial"/>
    <s v="F-1"/>
    <x v="0"/>
    <x v="8"/>
    <x v="1"/>
    <s v="No"/>
    <x v="1"/>
    <m/>
    <m/>
    <s v="Nigeria"/>
    <s v="Nigeria"/>
    <s v="Pre Arrival"/>
  </r>
  <r>
    <s v="Raza, Fahad"/>
    <s v="M03000142"/>
    <s v="N0000000142"/>
    <s v="Initial"/>
    <s v="F-1"/>
    <x v="0"/>
    <x v="5"/>
    <x v="1"/>
    <s v="No"/>
    <x v="0"/>
    <m/>
    <m/>
    <s v="Pakistan"/>
    <s v="Pakistan"/>
    <s v="Pre Arrival"/>
  </r>
  <r>
    <s v="Atieno, Sharon"/>
    <s v="M03000154"/>
    <s v="N0000000154"/>
    <s v="Initial"/>
    <s v="F-1"/>
    <x v="1"/>
    <x v="20"/>
    <x v="1"/>
    <s v="No"/>
    <x v="0"/>
    <m/>
    <m/>
    <s v="Kenya"/>
    <s v="Kenya"/>
    <s v="Pre Arrival"/>
  </r>
  <r>
    <s v="Ravi, Singh"/>
    <s v="M03000132"/>
    <s v="N0000000132"/>
    <s v="Initial"/>
    <s v="F-1"/>
    <x v="0"/>
    <x v="21"/>
    <x v="1"/>
    <s v="No"/>
    <x v="1"/>
    <m/>
    <m/>
    <s v="India"/>
    <s v="India"/>
    <s v="Pre Arrival"/>
  </r>
  <r>
    <s v="Amaka, Obi"/>
    <s v="M03000157"/>
    <s v="N0000000157"/>
    <s v="Initial"/>
    <s v="F-1"/>
    <x v="1"/>
    <x v="18"/>
    <x v="1"/>
    <s v="No"/>
    <x v="1"/>
    <m/>
    <m/>
    <s v="Nigeria"/>
    <s v="Nigeria"/>
    <s v="Pre Arrival"/>
  </r>
  <r>
    <s v="Ali, Nayeem"/>
    <s v="M03000314"/>
    <s v="N0000000314"/>
    <s v="Initial"/>
    <s v="F-1"/>
    <x v="0"/>
    <x v="9"/>
    <x v="1"/>
    <s v="MOGO"/>
    <x v="0"/>
    <m/>
    <m/>
    <s v="Bangladesh"/>
    <s v="Bangladesh"/>
    <s v="Pre Arrival"/>
  </r>
  <r>
    <s v="Pooja, Rani"/>
    <s v="M03000011"/>
    <s v="N0000000011"/>
    <s v="Initial"/>
    <s v="F-1"/>
    <x v="1"/>
    <x v="5"/>
    <x v="1"/>
    <s v="MOGO"/>
    <x v="1"/>
    <m/>
    <m/>
    <s v="India"/>
    <s v="India"/>
    <s v="Pre Arrival"/>
  </r>
  <r>
    <s v="Carvalho, Bruno"/>
    <s v="M03000357"/>
    <s v="N0000000357"/>
    <s v="Initial"/>
    <s v="F-1"/>
    <x v="0"/>
    <x v="6"/>
    <x v="1"/>
    <s v="No"/>
    <x v="0"/>
    <s v="Yes"/>
    <m/>
    <s v="Portugal"/>
    <s v="Portugal"/>
    <s v="Pre Arrival"/>
  </r>
  <r>
    <s v="Olu, Adewale"/>
    <s v="M03000254"/>
    <s v="N0000000254"/>
    <s v="Initial"/>
    <s v="F-1"/>
    <x v="0"/>
    <x v="1"/>
    <x v="1"/>
    <s v="No"/>
    <x v="1"/>
    <m/>
    <m/>
    <s v="Nigeria"/>
    <s v="Nigeria"/>
    <s v="Pre Arrival"/>
  </r>
  <r>
    <s v="Thapa, Richa"/>
    <s v="M03000126"/>
    <s v="N0000000126"/>
    <s v="Initial"/>
    <s v="F-1"/>
    <x v="1"/>
    <x v="13"/>
    <x v="1"/>
    <s v="MOGO"/>
    <x v="0"/>
    <m/>
    <m/>
    <s v="Nepal"/>
    <s v="Nepal"/>
    <s v="Pre Arrival"/>
  </r>
  <r>
    <s v="Neha, Gupta"/>
    <s v="M03000283"/>
    <s v="N0000000283"/>
    <s v="Initial"/>
    <s v="F-1"/>
    <x v="1"/>
    <x v="9"/>
    <x v="1"/>
    <s v="MOGO"/>
    <x v="0"/>
    <s v="Yes"/>
    <m/>
    <s v="India"/>
    <s v="India"/>
    <s v="Pre Arrival"/>
  </r>
  <r>
    <s v="Afia, Mensima"/>
    <s v="M03000095"/>
    <s v="N0000000095"/>
    <s v="Initial"/>
    <s v="F-1"/>
    <x v="1"/>
    <x v="9"/>
    <x v="0"/>
    <s v="No"/>
    <x v="1"/>
    <m/>
    <m/>
    <s v="Ghana"/>
    <s v="Ghana"/>
    <s v="Pre Arrival"/>
  </r>
  <r>
    <s v="Islam, Tania"/>
    <s v="M03000054"/>
    <s v="N0000000054"/>
    <s v="Initial"/>
    <s v="F-1"/>
    <x v="1"/>
    <x v="7"/>
    <x v="0"/>
    <s v="No"/>
    <x v="1"/>
    <m/>
    <m/>
    <s v="Bangladesh"/>
    <s v="Bangladesh"/>
    <s v="Pre Arrival"/>
  </r>
  <r>
    <s v="Suresh, Gupta"/>
    <s v="M03000343"/>
    <s v="N0000000343"/>
    <s v="Initial"/>
    <s v="F-1"/>
    <x v="0"/>
    <x v="5"/>
    <x v="1"/>
    <s v="No"/>
    <x v="0"/>
    <s v="Yes"/>
    <s v="Enrolled"/>
    <s v="India"/>
    <s v="India"/>
    <s v="Pre Arrival"/>
  </r>
  <r>
    <s v="Chebet, Mercy"/>
    <s v="M03000163"/>
    <s v="N0000000163"/>
    <s v="Initial"/>
    <s v="F-1"/>
    <x v="1"/>
    <x v="7"/>
    <x v="1"/>
    <s v="No"/>
    <x v="0"/>
    <s v="Yes"/>
    <m/>
    <s v="Kenya"/>
    <s v="Kenya"/>
    <s v="Pre Arrival"/>
  </r>
  <r>
    <s v="Tunde, Balogun"/>
    <s v="M03000303"/>
    <s v="N0000000303"/>
    <s v="Initial"/>
    <s v="F-1"/>
    <x v="0"/>
    <x v="22"/>
    <x v="1"/>
    <s v="No"/>
    <x v="1"/>
    <m/>
    <m/>
    <s v="Nigeria"/>
    <s v="Nigeria"/>
    <s v="Pre Arrival"/>
  </r>
  <r>
    <s v="Ama, Nyarko"/>
    <s v="M03000228"/>
    <s v="N0000000228"/>
    <s v="Initial"/>
    <s v="F-1"/>
    <x v="1"/>
    <x v="21"/>
    <x v="1"/>
    <s v="No"/>
    <x v="1"/>
    <m/>
    <m/>
    <s v="Ghana"/>
    <s v="Ghana"/>
    <s v="Pre Arrival"/>
  </r>
  <r>
    <s v="Hossain, Imran"/>
    <s v="M03000210"/>
    <s v="N0000000210"/>
    <s v="Initial"/>
    <s v="F-1"/>
    <x v="0"/>
    <x v="7"/>
    <x v="1"/>
    <s v="No"/>
    <x v="1"/>
    <m/>
    <m/>
    <s v="Bangladesh"/>
    <s v="Bangladesh"/>
    <s v="Pre Arrival"/>
  </r>
  <r>
    <s v="Yetunde, Adeyemi"/>
    <s v="M03000027"/>
    <s v="N0000000027"/>
    <s v="Initial"/>
    <s v="F-1"/>
    <x v="1"/>
    <x v="7"/>
    <x v="0"/>
    <s v="No"/>
    <x v="1"/>
    <m/>
    <m/>
    <s v="Nigeria"/>
    <s v="Nigeria"/>
    <s v="Pre Arrival"/>
  </r>
  <r>
    <s v="Ali, Nimra"/>
    <s v="M03000146"/>
    <s v="N0000000146"/>
    <s v="Initial"/>
    <s v="F-1"/>
    <x v="1"/>
    <x v="7"/>
    <x v="1"/>
    <s v="No"/>
    <x v="0"/>
    <s v="Yes"/>
    <m/>
    <s v="Pakistan"/>
    <s v="Pakistan"/>
    <s v="Pre Arrival"/>
  </r>
  <r>
    <s v="Olu, Adewale"/>
    <s v="M03000019"/>
    <s v="N0000000019"/>
    <s v="Initial"/>
    <s v="F-1"/>
    <x v="0"/>
    <x v="7"/>
    <x v="1"/>
    <s v="No"/>
    <x v="1"/>
    <m/>
    <m/>
    <s v="Nigeria"/>
    <s v="Nigeria"/>
    <s v="Pre Arrival"/>
  </r>
  <r>
    <s v="Olu, Adewale"/>
    <s v="M03000258"/>
    <s v="N0000000258"/>
    <s v="Initial"/>
    <s v="F-1"/>
    <x v="0"/>
    <x v="4"/>
    <x v="1"/>
    <s v="No"/>
    <x v="1"/>
    <m/>
    <m/>
    <s v="Nigeria"/>
    <s v="Nigeria"/>
    <s v="Pre Arrival"/>
  </r>
  <r>
    <s v="Gan, Nomin"/>
    <s v="M03000106"/>
    <s v="N0000000106"/>
    <s v="Initial"/>
    <s v="F-1"/>
    <x v="1"/>
    <x v="5"/>
    <x v="1"/>
    <s v="IPFW"/>
    <x v="0"/>
    <s v="Yes"/>
    <m/>
    <s v="Mongolia"/>
    <s v="Mongolia"/>
    <s v="Pre Arrival"/>
  </r>
  <r>
    <s v="Ravi, Singh"/>
    <s v="M03000341"/>
    <s v="N0000000341"/>
    <s v="Initial"/>
    <s v="F-1"/>
    <x v="0"/>
    <x v="6"/>
    <x v="1"/>
    <s v="No"/>
    <x v="1"/>
    <m/>
    <m/>
    <s v="India"/>
    <s v="India"/>
    <s v="Pre Arrival"/>
  </r>
  <r>
    <s v="Kiptoo, Daniel"/>
    <s v="M03000276"/>
    <s v="N0000000276"/>
    <s v="Initial"/>
    <s v="F-1"/>
    <x v="0"/>
    <x v="6"/>
    <x v="0"/>
    <s v="No"/>
    <x v="1"/>
    <m/>
    <m/>
    <s v="Kenya"/>
    <s v="Kenya"/>
    <s v="Pre Arrival"/>
  </r>
  <r>
    <s v="Ravi, Singh"/>
    <s v="M03000169"/>
    <s v="N0000000169"/>
    <s v="Initial"/>
    <s v="F-1"/>
    <x v="0"/>
    <x v="5"/>
    <x v="1"/>
    <s v="No"/>
    <x v="1"/>
    <m/>
    <m/>
    <s v="India"/>
    <s v="India"/>
    <s v="Pre Arrival"/>
  </r>
  <r>
    <s v="Lewandowska, Marta"/>
    <s v="M03000363"/>
    <s v="N0000000363"/>
    <s v="Initial"/>
    <s v="F-1"/>
    <x v="1"/>
    <x v="11"/>
    <x v="1"/>
    <s v="No"/>
    <x v="0"/>
    <s v="Yes"/>
    <m/>
    <s v="Poland"/>
    <s v="Poland"/>
    <s v="Pre Arrival"/>
  </r>
  <r>
    <s v="Kofi, Boateng"/>
    <s v="M03000262"/>
    <s v="N0000000262"/>
    <s v="Initial"/>
    <s v="F-1"/>
    <x v="0"/>
    <x v="16"/>
    <x v="0"/>
    <s v="No"/>
    <x v="0"/>
    <s v="Yes"/>
    <m/>
    <s v="Ghana"/>
    <s v="Ghana"/>
    <s v="Pre Arrival"/>
  </r>
  <r>
    <s v="Ana, Huaman"/>
    <s v="M03000280"/>
    <s v="N0000000280"/>
    <s v="Initial"/>
    <s v="F-1"/>
    <x v="1"/>
    <x v="1"/>
    <x v="1"/>
    <s v="MOGO"/>
    <x v="1"/>
    <m/>
    <m/>
    <s v="Peru"/>
    <s v="Peru"/>
    <s v="Pre Arrival"/>
  </r>
  <r>
    <s v="Yetunde, Adeyemi"/>
    <s v="M03000105"/>
    <s v="N0000000105"/>
    <s v="Initial"/>
    <s v="F-1"/>
    <x v="1"/>
    <x v="9"/>
    <x v="1"/>
    <s v="No"/>
    <x v="1"/>
    <m/>
    <m/>
    <s v="Nigeria"/>
    <s v="Nigeria"/>
    <s v="Pre Arrival"/>
  </r>
  <r>
    <s v="Rahimi, Arman"/>
    <s v="M03000046"/>
    <s v="N0000000046"/>
    <s v="Initial"/>
    <s v="F-1"/>
    <x v="0"/>
    <x v="7"/>
    <x v="1"/>
    <s v="No"/>
    <x v="1"/>
    <m/>
    <m/>
    <s v="Iran"/>
    <s v="Iran"/>
    <s v="Pre Arrival"/>
  </r>
  <r>
    <s v="Mariana, Pereira"/>
    <s v="M03000001"/>
    <s v="N0000000001"/>
    <s v="Initial"/>
    <s v="F-1"/>
    <x v="1"/>
    <x v="9"/>
    <x v="0"/>
    <s v="No"/>
    <x v="0"/>
    <s v="Yes"/>
    <m/>
    <s v="Brazil"/>
    <s v="Brazil"/>
    <s v="Pre Arrival"/>
  </r>
  <r>
    <s v="Amaka, Obi"/>
    <s v="M03000099"/>
    <s v="N0000000099"/>
    <s v="Initial"/>
    <s v="F-1"/>
    <x v="1"/>
    <x v="23"/>
    <x v="1"/>
    <s v="No"/>
    <x v="1"/>
    <m/>
    <m/>
    <s v="Nigeria"/>
    <s v="Nigeria"/>
    <s v="Pre Arrival"/>
  </r>
  <r>
    <s v="Ahmed, Karim"/>
    <s v="M03000147"/>
    <s v="N0000000147"/>
    <s v="Initial"/>
    <s v="F-1"/>
    <x v="0"/>
    <x v="7"/>
    <x v="1"/>
    <s v="No"/>
    <x v="1"/>
    <m/>
    <m/>
    <s v="Bangladesh"/>
    <s v="Bangladesh"/>
    <s v="Pre Arrival"/>
  </r>
  <r>
    <s v="Ali, Nimra"/>
    <s v="M03000070"/>
    <s v="N0000000070"/>
    <s v="Initial"/>
    <s v="F-1"/>
    <x v="1"/>
    <x v="22"/>
    <x v="0"/>
    <s v="No"/>
    <x v="1"/>
    <m/>
    <m/>
    <s v="Pakistan"/>
    <s v="Pakistan"/>
    <s v="Pre Arrival"/>
  </r>
  <r>
    <s v="Delić, Selma"/>
    <s v="M03000160"/>
    <s v="N0000000160"/>
    <s v="Initial"/>
    <s v="F-1"/>
    <x v="1"/>
    <x v="7"/>
    <x v="0"/>
    <s v="No"/>
    <x v="1"/>
    <s v="Yes"/>
    <m/>
    <s v="Bosnia and Herzegovina"/>
    <s v="Bosnia and Herzegovina"/>
    <m/>
  </r>
  <r>
    <s v="Ali, Nayeem"/>
    <s v="M03000319"/>
    <s v="N0000000319"/>
    <s v="Initial"/>
    <s v="F-1"/>
    <x v="0"/>
    <x v="9"/>
    <x v="1"/>
    <s v="No"/>
    <x v="1"/>
    <m/>
    <m/>
    <s v="Bangladesh"/>
    <s v="Bangladesh"/>
    <s v="Pre Arrival"/>
  </r>
  <r>
    <s v="Tunde, Balogun"/>
    <s v="M03000112"/>
    <s v="N0000000112"/>
    <s v="Initial"/>
    <s v="F-1"/>
    <x v="0"/>
    <x v="7"/>
    <x v="1"/>
    <s v="No"/>
    <x v="1"/>
    <m/>
    <m/>
    <s v="Nigeria"/>
    <s v="Nigeria"/>
    <s v="Pre Arrival"/>
  </r>
  <r>
    <s v="Islam, Tania"/>
    <s v="M03000029"/>
    <s v="N0000000029"/>
    <s v="Initial"/>
    <s v="F-1"/>
    <x v="1"/>
    <x v="24"/>
    <x v="1"/>
    <s v="No"/>
    <x v="1"/>
    <m/>
    <m/>
    <s v="Bangladesh"/>
    <s v="Bangladesh"/>
    <s v="Pre Arrival"/>
  </r>
  <r>
    <s v="Amit, Sharma"/>
    <s v="M03000321"/>
    <s v="N0000000321"/>
    <s v="Initial"/>
    <s v="F-1"/>
    <x v="0"/>
    <x v="4"/>
    <x v="1"/>
    <s v="No"/>
    <x v="1"/>
    <m/>
    <m/>
    <s v="India"/>
    <s v="India"/>
    <s v="Pre Arrival"/>
  </r>
  <r>
    <s v="Funke, Ojo"/>
    <s v="M03000264"/>
    <s v="N0000000264"/>
    <s v="Initial"/>
    <s v="F-1"/>
    <x v="1"/>
    <x v="20"/>
    <x v="1"/>
    <s v="No"/>
    <x v="1"/>
    <m/>
    <m/>
    <s v="Nigeria"/>
    <s v="Nigeria"/>
    <s v="Pre Arrival"/>
  </r>
  <r>
    <s v="Kwabena, Osei"/>
    <s v="M03000048"/>
    <s v="N0000000048"/>
    <s v="Initial"/>
    <s v="F-1"/>
    <x v="0"/>
    <x v="7"/>
    <x v="0"/>
    <s v="No"/>
    <x v="0"/>
    <s v="Yes"/>
    <m/>
    <s v="Ghana"/>
    <s v="Ghana"/>
    <s v="Pre Arrival"/>
  </r>
  <r>
    <s v="Rahman, Hasan"/>
    <s v="M03000293"/>
    <s v="N0000000293"/>
    <s v="Initial"/>
    <s v="F-1"/>
    <x v="0"/>
    <x v="9"/>
    <x v="1"/>
    <s v="MOGO"/>
    <x v="0"/>
    <m/>
    <m/>
    <s v="Bangladesh"/>
    <s v="Bangladesh"/>
    <s v="Pre Arrival"/>
  </r>
  <r>
    <s v="Otieno, Brian"/>
    <s v="M03000342"/>
    <s v="N0000000342"/>
    <s v="Initial"/>
    <s v="F-1"/>
    <x v="0"/>
    <x v="21"/>
    <x v="1"/>
    <s v="No"/>
    <x v="1"/>
    <m/>
    <m/>
    <s v="Kenya"/>
    <s v="Kenya"/>
    <s v="Pre Arrival"/>
  </r>
  <r>
    <s v="Adjovi, Jules"/>
    <s v="M03000118"/>
    <s v="N0000000118"/>
    <s v="Initial"/>
    <s v="F-1"/>
    <x v="0"/>
    <x v="5"/>
    <x v="0"/>
    <s v="No"/>
    <x v="0"/>
    <s v="Yes"/>
    <m/>
    <s v="Benin"/>
    <s v="Benin"/>
    <s v="Pre Arrival"/>
  </r>
  <r>
    <s v="Tunde, Balogun"/>
    <s v="M03000062"/>
    <s v="N0000000062"/>
    <s v="Initial"/>
    <s v="F-1"/>
    <x v="0"/>
    <x v="9"/>
    <x v="1"/>
    <s v="No"/>
    <x v="1"/>
    <m/>
    <m/>
    <s v="Nigeria"/>
    <s v="Nigeria"/>
    <s v="Pre Arrival"/>
  </r>
  <r>
    <s v="Ravi, Singh"/>
    <s v="M03000125"/>
    <s v="N0000000125"/>
    <s v="Initial"/>
    <s v="F-1"/>
    <x v="0"/>
    <x v="9"/>
    <x v="1"/>
    <s v="MOGO/REFUND"/>
    <x v="1"/>
    <m/>
    <m/>
    <s v="India"/>
    <s v="India"/>
    <s v="Pre Arrival"/>
  </r>
  <r>
    <s v="Adhikari, Nisha"/>
    <s v="M03000015"/>
    <s v="N0000000015"/>
    <s v="Initial"/>
    <s v="F-1"/>
    <x v="1"/>
    <x v="9"/>
    <x v="1"/>
    <s v="No"/>
    <x v="1"/>
    <m/>
    <m/>
    <s v="Nepal"/>
    <s v="Nepal"/>
    <s v="Pre Arrival"/>
  </r>
  <r>
    <s v="Atieno, Sharon"/>
    <s v="M03000252"/>
    <s v="N0000000252"/>
    <s v="Initial"/>
    <s v="F-1"/>
    <x v="1"/>
    <x v="5"/>
    <x v="1"/>
    <s v="MOGO"/>
    <x v="1"/>
    <m/>
    <m/>
    <s v="Kenya"/>
    <s v="Kenya"/>
    <s v="Pre Arrival"/>
  </r>
  <r>
    <s v="Raj, Kumar"/>
    <s v="M03000310"/>
    <s v="N0000000310"/>
    <s v="Initial"/>
    <s v="F-1"/>
    <x v="0"/>
    <x v="9"/>
    <x v="1"/>
    <s v="No"/>
    <x v="0"/>
    <s v="Yes"/>
    <s v="Enrolled"/>
    <s v="India"/>
    <s v="India"/>
    <s v="Pre Arrival"/>
  </r>
  <r>
    <s v="Pooja, Rani"/>
    <s v="M03000151"/>
    <s v="N0000000151"/>
    <s v="Initial"/>
    <s v="F-1"/>
    <x v="1"/>
    <x v="3"/>
    <x v="1"/>
    <s v="No"/>
    <x v="1"/>
    <m/>
    <m/>
    <s v="India"/>
    <s v="India"/>
    <s v="Pre Arrival"/>
  </r>
  <r>
    <s v="Rahman, Fatima"/>
    <s v="M03000307"/>
    <s v="N0000000307"/>
    <s v="Initial"/>
    <s v="F-1"/>
    <x v="1"/>
    <x v="16"/>
    <x v="1"/>
    <s v="No"/>
    <x v="1"/>
    <m/>
    <m/>
    <s v="Bangladesh"/>
    <s v="Bangladesh"/>
    <s v="Pre Arrival"/>
  </r>
  <r>
    <s v="Rahimi, Arman"/>
    <s v="M03000275"/>
    <s v="N0000000275"/>
    <s v="Initial"/>
    <s v="F-1"/>
    <x v="0"/>
    <x v="9"/>
    <x v="1"/>
    <s v="No"/>
    <x v="1"/>
    <m/>
    <m/>
    <s v="Iran"/>
    <s v="Iran"/>
    <s v="Pre Arrival"/>
  </r>
  <r>
    <s v="Kwabena, Osei"/>
    <s v="M03000115"/>
    <s v="N0000000115"/>
    <s v="Initial"/>
    <s v="F-1"/>
    <x v="0"/>
    <x v="5"/>
    <x v="1"/>
    <s v="No"/>
    <x v="1"/>
    <m/>
    <m/>
    <s v="Ghana"/>
    <s v="Ghana"/>
    <s v="Pre Arrival"/>
  </r>
  <r>
    <s v="Nyerere, John"/>
    <s v="M03000339"/>
    <s v="N0000000339"/>
    <s v="Initial"/>
    <s v="F-1"/>
    <x v="0"/>
    <x v="1"/>
    <x v="1"/>
    <s v="No"/>
    <x v="1"/>
    <m/>
    <m/>
    <s v="Tanzania"/>
    <s v="Tanzania"/>
    <s v="Pre Arrival"/>
  </r>
  <r>
    <s v="Ahmadi, Sina"/>
    <s v="M03000092"/>
    <s v="N0000000092"/>
    <s v="Initial"/>
    <s v="F-1"/>
    <x v="0"/>
    <x v="9"/>
    <x v="1"/>
    <s v="No"/>
    <x v="1"/>
    <m/>
    <m/>
    <s v="Iran"/>
    <s v="Iran"/>
    <s v="Pre Arrival"/>
  </r>
  <r>
    <s v="Mohammadi, Ali"/>
    <s v="M03000100"/>
    <s v="N0000000100"/>
    <s v="Initial"/>
    <s v="F-1"/>
    <x v="0"/>
    <x v="4"/>
    <x v="0"/>
    <s v="No"/>
    <x v="0"/>
    <m/>
    <m/>
    <s v="Iran"/>
    <s v="Iran"/>
    <s v="Pre Arrival"/>
  </r>
  <r>
    <s v="Shrestha, Prakash"/>
    <s v="M03000331"/>
    <s v="N0000000331"/>
    <s v="Initial"/>
    <s v="F-1"/>
    <x v="0"/>
    <x v="11"/>
    <x v="0"/>
    <s v="No"/>
    <x v="1"/>
    <m/>
    <m/>
    <s v="Nepal"/>
    <s v="Nepal"/>
    <s v="Pre Arrival"/>
  </r>
  <r>
    <s v="Ravi, Singh"/>
    <s v="M03000333"/>
    <s v="N0000000333"/>
    <s v="Initial"/>
    <s v="F-1"/>
    <x v="0"/>
    <x v="5"/>
    <x v="1"/>
    <s v="No"/>
    <x v="0"/>
    <m/>
    <s v="Emailed for Update"/>
    <s v="India"/>
    <s v="India"/>
    <s v="Pre Arrival"/>
  </r>
  <r>
    <s v="Ali, Nayeem"/>
    <s v="M03000292"/>
    <s v="N0000000292"/>
    <s v="Initial"/>
    <s v="F-1"/>
    <x v="0"/>
    <x v="14"/>
    <x v="0"/>
    <s v="No"/>
    <x v="0"/>
    <s v="Yes"/>
    <m/>
    <s v="Bangladesh"/>
    <s v="Bangladesh"/>
    <s v="Pre Arrival"/>
  </r>
  <r>
    <s v="Yetunde, Adeyemi"/>
    <s v="M03000199"/>
    <s v="N0000000199"/>
    <s v="Initial"/>
    <s v="F-1"/>
    <x v="1"/>
    <x v="21"/>
    <x v="1"/>
    <s v="No"/>
    <x v="1"/>
    <m/>
    <m/>
    <s v="Nigeria"/>
    <s v="Nigeria"/>
    <s v="Pre Arrival"/>
  </r>
  <r>
    <s v="Rahman, Fatima"/>
    <s v="M03000025"/>
    <s v="N0000000025"/>
    <s v="Initial"/>
    <s v="F-1"/>
    <x v="1"/>
    <x v="25"/>
    <x v="1"/>
    <s v="No"/>
    <x v="1"/>
    <m/>
    <m/>
    <s v="Bangladesh"/>
    <s v="Bangladesh"/>
    <s v="Pre Arrival"/>
  </r>
  <r>
    <s v="Wanjiru, Mary"/>
    <s v="M03000298"/>
    <s v="N0000000298"/>
    <s v="Initial"/>
    <s v="F-1"/>
    <x v="1"/>
    <x v="23"/>
    <x v="1"/>
    <s v="MOGO"/>
    <x v="0"/>
    <s v="Denied"/>
    <m/>
    <s v="Kenya"/>
    <s v="Kenya"/>
    <s v="Pre Arrival"/>
  </r>
  <r>
    <s v="Atieno, Sharon"/>
    <s v="M03000217"/>
    <s v="N0000000217"/>
    <s v="Initial"/>
    <s v="F-1"/>
    <x v="1"/>
    <x v="7"/>
    <x v="1"/>
    <s v="No"/>
    <x v="1"/>
    <m/>
    <m/>
    <s v="Kenya"/>
    <s v="Kenya"/>
    <s v="Pre Arrival"/>
  </r>
  <r>
    <s v="Alemu, Selam"/>
    <s v="M03000344"/>
    <s v="N0000000344"/>
    <s v="Initial"/>
    <s v="F-1"/>
    <x v="1"/>
    <x v="16"/>
    <x v="1"/>
    <s v="MOGO"/>
    <x v="0"/>
    <m/>
    <m/>
    <s v="Ethiopia"/>
    <s v="Ethiopia"/>
    <s v="Pre Arrival"/>
  </r>
  <r>
    <s v="Mohammadi, Sara"/>
    <s v="M03000306"/>
    <s v="N0000000306"/>
    <s v="Initial"/>
    <s v="F-1"/>
    <x v="1"/>
    <x v="7"/>
    <x v="1"/>
    <s v="MOGO"/>
    <x v="1"/>
    <m/>
    <m/>
    <s v="Iran"/>
    <s v="Iran"/>
    <s v="Pre Arrival"/>
  </r>
  <r>
    <s v="Khan, Rafi"/>
    <s v="M03000032"/>
    <s v="N0000000032"/>
    <s v="Initial"/>
    <s v="F-1"/>
    <x v="0"/>
    <x v="9"/>
    <x v="1"/>
    <s v="IPFW/Refund"/>
    <x v="1"/>
    <m/>
    <m/>
    <s v="Bangladesh"/>
    <s v="Bangladesh"/>
    <s v="Pre Arrival"/>
  </r>
  <r>
    <s v="Gurung, Sita"/>
    <s v="M03000213"/>
    <s v="N0000000213"/>
    <s v="Draft"/>
    <s v="F-1"/>
    <x v="1"/>
    <x v="7"/>
    <x v="1"/>
    <s v="MOGO"/>
    <x v="1"/>
    <m/>
    <m/>
    <s v="Nepal"/>
    <s v="Nepal"/>
    <s v="Pre Arrival"/>
  </r>
  <r>
    <s v="Raj, Kumar"/>
    <s v="M03000040"/>
    <s v="N0000000040"/>
    <s v="Initial"/>
    <s v="F-1"/>
    <x v="0"/>
    <x v="7"/>
    <x v="1"/>
    <s v="No"/>
    <x v="1"/>
    <m/>
    <m/>
    <s v="India"/>
    <s v="India"/>
    <s v="Pre Arrival"/>
  </r>
  <r>
    <s v="Tunde, Balogun"/>
    <s v="M03000148"/>
    <s v="N0000000148"/>
    <s v="Initial"/>
    <s v="F-1"/>
    <x v="0"/>
    <x v="5"/>
    <x v="1"/>
    <s v="No"/>
    <x v="0"/>
    <m/>
    <m/>
    <s v="Nigeria"/>
    <s v="Nigeria"/>
    <s v="Pre Arrival"/>
  </r>
  <r>
    <s v="Adhikari, Nisha"/>
    <s v="M03000121"/>
    <s v="N0000000121"/>
    <s v="Initial"/>
    <s v="F-1"/>
    <x v="1"/>
    <x v="7"/>
    <x v="1"/>
    <s v="No"/>
    <x v="0"/>
    <s v="Yes"/>
    <m/>
    <s v="Nepal"/>
    <s v="Nepal"/>
    <s v="Pre Arrival"/>
  </r>
  <r>
    <s v="Ifeanyi, Eze"/>
    <s v="M03000232"/>
    <s v="N0000000232"/>
    <s v="Initial"/>
    <s v="F-1"/>
    <x v="0"/>
    <x v="7"/>
    <x v="1"/>
    <s v="No"/>
    <x v="1"/>
    <m/>
    <m/>
    <s v="Nigeria"/>
    <s v="Nigeria"/>
    <s v="Pre Arrival"/>
  </r>
  <r>
    <s v="Tran, Huong"/>
    <s v="M03000277"/>
    <s v="N0000000277"/>
    <s v="Initial"/>
    <s v="F-1"/>
    <x v="1"/>
    <x v="26"/>
    <x v="1"/>
    <s v="IPFW"/>
    <x v="0"/>
    <m/>
    <s v="Transfer-Out"/>
    <s v="Vietnam"/>
    <s v="Vietnam"/>
    <s v="Pre Arrival"/>
  </r>
  <r>
    <s v="Afia, Mensima"/>
    <s v="M03000077"/>
    <s v="N0000000077"/>
    <s v="Initial"/>
    <s v="F-1"/>
    <x v="1"/>
    <x v="7"/>
    <x v="1"/>
    <s v="No"/>
    <x v="1"/>
    <m/>
    <m/>
    <s v="Ghana"/>
    <s v="Ghana"/>
    <s v="Pre Arrival"/>
  </r>
  <r>
    <s v="Rahman, Fatima"/>
    <s v="M03000224"/>
    <s v="N0000000224"/>
    <s v="Initial"/>
    <s v="F-1"/>
    <x v="1"/>
    <x v="5"/>
    <x v="1"/>
    <s v="No"/>
    <x v="0"/>
    <m/>
    <m/>
    <s v="Bangladesh"/>
    <s v="Bangladesh"/>
    <s v="Pre Arrival"/>
  </r>
  <r>
    <s v="Sanchez, Adrian"/>
    <s v="M03000110"/>
    <s v="N0000000110"/>
    <s v="Initial"/>
    <s v="F-1"/>
    <x v="0"/>
    <x v="6"/>
    <x v="1"/>
    <s v="No"/>
    <x v="1"/>
    <m/>
    <m/>
    <s v="Spain"/>
    <s v="Spain"/>
    <s v="Pre Arrival"/>
  </r>
  <r>
    <s v="Emeka, Obi"/>
    <s v="M03000023"/>
    <s v="N0000000023"/>
    <s v="Initial"/>
    <s v="F-1"/>
    <x v="0"/>
    <x v="5"/>
    <x v="1"/>
    <s v="No"/>
    <x v="1"/>
    <m/>
    <m/>
    <s v="Nigeria"/>
    <s v="Nigeria"/>
    <s v="Pre Arrival"/>
  </r>
  <r>
    <s v="Do, Anh"/>
    <s v="M03000135"/>
    <s v="N0000000135"/>
    <s v="Initial"/>
    <s v="F-1"/>
    <x v="1"/>
    <x v="9"/>
    <x v="1"/>
    <s v="IPFW"/>
    <x v="0"/>
    <s v="Yes"/>
    <m/>
    <s v="Vietnam"/>
    <s v="Vietnam"/>
    <s v="Pre Arrival"/>
  </r>
  <r>
    <s v="Adwoa, Serwaa"/>
    <s v="M03000098"/>
    <s v="N0000000098"/>
    <s v="Initial"/>
    <s v="F-1"/>
    <x v="1"/>
    <x v="6"/>
    <x v="1"/>
    <s v="No"/>
    <x v="1"/>
    <m/>
    <m/>
    <s v="Ghana"/>
    <s v="Ghana"/>
    <s v="Pre Arrival"/>
  </r>
  <r>
    <s v="Neha, Gupta"/>
    <s v="M03000179"/>
    <s v="N0000000179"/>
    <s v="Initial"/>
    <s v="F-1"/>
    <x v="1"/>
    <x v="5"/>
    <x v="1"/>
    <s v="No"/>
    <x v="1"/>
    <m/>
    <m/>
    <s v="India"/>
    <s v="India"/>
    <s v="Pre Arrival"/>
  </r>
  <r>
    <s v="Ivanova, Anna"/>
    <s v="M03000143"/>
    <s v="N0000000143"/>
    <s v="Initial"/>
    <s v="F-1"/>
    <x v="1"/>
    <x v="9"/>
    <x v="0"/>
    <s v="No"/>
    <x v="0"/>
    <s v="Yes"/>
    <m/>
    <s v="Russia"/>
    <s v="Russia"/>
    <s v="Pre Arrival"/>
  </r>
  <r>
    <s v="Miguel, Lopez"/>
    <s v="M03000278"/>
    <s v="N0000000278"/>
    <s v="Initial"/>
    <s v="F-1"/>
    <x v="0"/>
    <x v="7"/>
    <x v="1"/>
    <s v="No"/>
    <x v="0"/>
    <s v="Yes"/>
    <m/>
    <s v="Mexico"/>
    <s v="Mexico"/>
    <s v="Pre Arrival"/>
  </r>
  <r>
    <s v="Sultana, Nusrat"/>
    <s v="M03000028"/>
    <s v="N0000000028"/>
    <s v="Initial"/>
    <s v="F-1"/>
    <x v="1"/>
    <x v="7"/>
    <x v="1"/>
    <s v="No"/>
    <x v="0"/>
    <m/>
    <m/>
    <s v="Bangladesh"/>
    <s v="Bangladesh"/>
    <s v="Pre Arrival"/>
  </r>
  <r>
    <s v="Chirwa, Kelvin"/>
    <s v="M03000086"/>
    <s v="N0000000086"/>
    <s v="Initial"/>
    <s v="F-1"/>
    <x v="0"/>
    <x v="17"/>
    <x v="1"/>
    <s v="No"/>
    <x v="1"/>
    <m/>
    <m/>
    <s v="Malawi"/>
    <s v="Malawi"/>
    <s v="Pre Arrival"/>
  </r>
  <r>
    <s v="Funke, Ojo"/>
    <s v="M03000231"/>
    <s v="N0000000231"/>
    <s v="Initial"/>
    <s v="F-1"/>
    <x v="1"/>
    <x v="7"/>
    <x v="1"/>
    <s v="No"/>
    <x v="1"/>
    <m/>
    <m/>
    <s v="Nigeria"/>
    <s v="Nigeria"/>
    <s v="Pre Arrival"/>
  </r>
  <r>
    <s v="Khan, Rafi"/>
    <s v="M03000114"/>
    <s v="N0000000114"/>
    <s v="Initial"/>
    <s v="F-1"/>
    <x v="0"/>
    <x v="9"/>
    <x v="0"/>
    <s v="No"/>
    <x v="0"/>
    <s v="Yes"/>
    <m/>
    <s v="Bangladesh"/>
    <s v="Bangladesh"/>
    <s v="Pre Arrival"/>
  </r>
  <r>
    <s v="Raza, Fahad"/>
    <s v="M03000065"/>
    <s v="N0000000065"/>
    <s v="Initial"/>
    <s v="F-1"/>
    <x v="0"/>
    <x v="27"/>
    <x v="1"/>
    <s v="IPFW/Refund"/>
    <x v="1"/>
    <m/>
    <m/>
    <s v="Pakistan"/>
    <s v="Pakistan"/>
    <s v="Pre Arrival"/>
  </r>
  <r>
    <s v="Olu, Adewale"/>
    <s v="M03000248"/>
    <s v="N0000000248"/>
    <s v="Initial"/>
    <s v="F-1"/>
    <x v="0"/>
    <x v="5"/>
    <x v="1"/>
    <s v="No"/>
    <x v="1"/>
    <m/>
    <m/>
    <s v="Nigeria"/>
    <s v="Nigeria"/>
    <s v="Pre Arrival"/>
  </r>
  <r>
    <s v="Ravi, Singh"/>
    <s v="M03000030"/>
    <s v="N0000000030"/>
    <s v="Initial"/>
    <s v="F-1"/>
    <x v="0"/>
    <x v="9"/>
    <x v="1"/>
    <s v="No"/>
    <x v="0"/>
    <m/>
    <m/>
    <s v="India"/>
    <s v="India"/>
    <s v="Pre Arrival"/>
  </r>
  <r>
    <s v="Hossain, Imran"/>
    <s v="M03000138"/>
    <s v="N0000000138"/>
    <s v="Initial"/>
    <s v="F-1"/>
    <x v="0"/>
    <x v="4"/>
    <x v="1"/>
    <s v="No"/>
    <x v="1"/>
    <m/>
    <m/>
    <s v="Bangladesh"/>
    <s v="Bangladesh"/>
    <s v="Pre Arrival"/>
  </r>
  <r>
    <s v="Ngozi, Okeke"/>
    <s v="M03000335"/>
    <s v="N0000000335"/>
    <s v="Initial"/>
    <s v="F-1"/>
    <x v="1"/>
    <x v="9"/>
    <x v="1"/>
    <s v="No"/>
    <x v="1"/>
    <m/>
    <m/>
    <s v="Nigeria"/>
    <s v="Nigeria"/>
    <s v="Pre Arrival"/>
  </r>
  <r>
    <s v="Chioma, Nwosu"/>
    <s v="M03000061"/>
    <s v="N0000000061"/>
    <s v="Initial"/>
    <s v="F-1"/>
    <x v="1"/>
    <x v="2"/>
    <x v="1"/>
    <s v="No"/>
    <x v="0"/>
    <m/>
    <m/>
    <s v="Nigeria"/>
    <s v="Nigeria"/>
    <s v="Pre Arrival"/>
  </r>
  <r>
    <s v="Gurung, Sita"/>
    <s v="M03000094"/>
    <s v="N0000000094"/>
    <s v="Initial"/>
    <s v="F-1"/>
    <x v="1"/>
    <x v="5"/>
    <x v="1"/>
    <s v="MOGO"/>
    <x v="0"/>
    <s v="Yes"/>
    <m/>
    <s v="Nepal"/>
    <s v="Nepal"/>
    <s v="Pre Arrival"/>
  </r>
  <r>
    <s v="Ahmadi, Sina"/>
    <s v="M03000324"/>
    <s v="N0000000324"/>
    <s v="Initial"/>
    <s v="F-1"/>
    <x v="0"/>
    <x v="7"/>
    <x v="0"/>
    <s v="No"/>
    <x v="1"/>
    <m/>
    <m/>
    <s v="Iran"/>
    <s v="Iran"/>
    <s v="Pre Arrival"/>
  </r>
  <r>
    <s v="Anita, Patel"/>
    <s v="M03000079"/>
    <s v="N0000000079"/>
    <s v="Initial"/>
    <s v="F-1"/>
    <x v="1"/>
    <x v="7"/>
    <x v="1"/>
    <s v="No"/>
    <x v="0"/>
    <m/>
    <m/>
    <s v="India"/>
    <s v="India"/>
    <s v="Pre Arrival"/>
  </r>
  <r>
    <s v="Okello, Moses"/>
    <s v="M03000164"/>
    <s v="N0000000164"/>
    <s v="Initial"/>
    <s v="F-1"/>
    <x v="0"/>
    <x v="5"/>
    <x v="1"/>
    <s v="No"/>
    <x v="0"/>
    <m/>
    <m/>
    <s v="Uganda"/>
    <s v="Uganda"/>
    <s v="Pre Arrival"/>
  </r>
  <r>
    <s v="Begum, Aisha"/>
    <s v="M03000353"/>
    <s v="N0000000353"/>
    <s v="Initial"/>
    <s v="F-1"/>
    <x v="1"/>
    <x v="4"/>
    <x v="1"/>
    <s v="MOGO"/>
    <x v="0"/>
    <m/>
    <m/>
    <s v="Bangladesh"/>
    <s v="Bangladesh"/>
    <s v="Pre Arrival"/>
  </r>
  <r>
    <s v="Şahin, Can"/>
    <s v="M03000165"/>
    <s v="N0000000165"/>
    <s v="Initial"/>
    <s v="F-1"/>
    <x v="0"/>
    <x v="6"/>
    <x v="0"/>
    <s v="No"/>
    <x v="0"/>
    <s v="Yes"/>
    <m/>
    <s v="Turkey"/>
    <s v="Turkey"/>
    <s v="Pre Arrival"/>
  </r>
  <r>
    <s v="Alimova, Aida"/>
    <s v="M03000362"/>
    <s v="N0000000362"/>
    <s v="Initial"/>
    <s v="F-1"/>
    <x v="1"/>
    <x v="5"/>
    <x v="0"/>
    <s v="No"/>
    <x v="0"/>
    <s v="Yes"/>
    <m/>
    <s v="Kazakhstan"/>
    <s v="Kazakhstan"/>
    <s v="Pre Arrival"/>
  </r>
  <r>
    <s v="Kofi, Boateng"/>
    <s v="M03000038"/>
    <s v="N0000000038"/>
    <s v="Initial"/>
    <s v="F-1"/>
    <x v="0"/>
    <x v="7"/>
    <x v="1"/>
    <s v="IPFW/Refund"/>
    <x v="1"/>
    <m/>
    <m/>
    <s v="Ghana"/>
    <s v="Ghana"/>
    <s v="Pre Arrival"/>
  </r>
  <r>
    <s v="Thapa, Richa"/>
    <s v="M03000127"/>
    <s v="N0000000127"/>
    <s v="Initial"/>
    <s v="F-1"/>
    <x v="1"/>
    <x v="6"/>
    <x v="1"/>
    <s v="MOGO"/>
    <x v="1"/>
    <m/>
    <m/>
    <s v="Nepal"/>
    <s v="Nepal"/>
    <s v="Pre Arrival"/>
  </r>
  <r>
    <s v="Kiptoo, Daniel"/>
    <s v="M03000202"/>
    <s v="N0000000202"/>
    <s v="Initial"/>
    <s v="F-1"/>
    <x v="0"/>
    <x v="27"/>
    <x v="1"/>
    <s v="MOGO"/>
    <x v="0"/>
    <m/>
    <m/>
    <s v="Kenya"/>
    <s v="Kenya"/>
    <s v="Pre Arrival"/>
  </r>
  <r>
    <s v="Rahman, Hasan"/>
    <s v="M03000201"/>
    <s v="N0000000201"/>
    <s v="Initial"/>
    <s v="F-1"/>
    <x v="0"/>
    <x v="5"/>
    <x v="1"/>
    <s v="No"/>
    <x v="1"/>
    <m/>
    <m/>
    <s v="Bangladesh"/>
    <s v="Bangladesh"/>
    <s v="Pre Arrival"/>
  </r>
  <r>
    <s v="Khan, Rafi"/>
    <s v="M03000287"/>
    <s v="N0000000287"/>
    <s v="Initial"/>
    <s v="F-1"/>
    <x v="0"/>
    <x v="25"/>
    <x v="0"/>
    <s v="No"/>
    <x v="0"/>
    <s v="Yes"/>
    <m/>
    <s v="Bangladesh"/>
    <s v="Bangladesh"/>
    <s v="Pre Arrival"/>
  </r>
  <r>
    <s v="Kamau, Peter"/>
    <s v="M03000336"/>
    <s v="N0000000336"/>
    <s v="Initial"/>
    <s v="F-1"/>
    <x v="0"/>
    <x v="9"/>
    <x v="1"/>
    <s v="MOGO/REFUND"/>
    <x v="1"/>
    <m/>
    <m/>
    <s v="Kenya"/>
    <s v="Kenya"/>
    <s v="Pre Arrival"/>
  </r>
  <r>
    <s v="Rahman, Hasan"/>
    <s v="M03000291"/>
    <s v="N0000000291"/>
    <s v="Initial"/>
    <s v="F-1"/>
    <x v="0"/>
    <x v="7"/>
    <x v="1"/>
    <s v="No"/>
    <x v="1"/>
    <m/>
    <m/>
    <s v="Bangladesh"/>
    <s v="Bangladesh"/>
    <s v="Pre Arrival"/>
  </r>
  <r>
    <s v="Yetunde, Adeyemi"/>
    <s v="M03000109"/>
    <s v="N0000000109"/>
    <s v="Initial"/>
    <s v="F-1"/>
    <x v="1"/>
    <x v="3"/>
    <x v="1"/>
    <s v="No"/>
    <x v="1"/>
    <m/>
    <m/>
    <s v="Nigeria"/>
    <s v="Nigeria"/>
    <s v="Pre Arrival"/>
  </r>
  <r>
    <s v="Otieno, Brian"/>
    <s v="M03000193"/>
    <s v="N0000000193"/>
    <s v="Initial"/>
    <s v="F-1"/>
    <x v="0"/>
    <x v="9"/>
    <x v="1"/>
    <s v="No"/>
    <x v="1"/>
    <m/>
    <m/>
    <s v="Kenya"/>
    <s v="Kenya"/>
    <s v="Pre Arrival"/>
  </r>
  <r>
    <s v="Kwame, Mensah"/>
    <s v="M03000200"/>
    <s v="N0000000200"/>
    <s v="Initial"/>
    <s v="F-1"/>
    <x v="0"/>
    <x v="23"/>
    <x v="1"/>
    <s v="MOGO"/>
    <x v="1"/>
    <m/>
    <m/>
    <s v="Ghana"/>
    <s v="Ghana"/>
    <s v="Pre Arrival"/>
  </r>
  <r>
    <s v="Wanjiru, Mary"/>
    <s v="M03000171"/>
    <s v="N0000000171"/>
    <s v="Initial"/>
    <s v="F-1"/>
    <x v="1"/>
    <x v="9"/>
    <x v="1"/>
    <s v="No"/>
    <x v="1"/>
    <m/>
    <m/>
    <s v="Kenya"/>
    <s v="Kenya"/>
    <s v="Pre Arrival"/>
  </r>
  <r>
    <s v="Wang, Mei"/>
    <s v="M03000316"/>
    <s v="N0000000316"/>
    <s v="Initial"/>
    <s v="F-1"/>
    <x v="1"/>
    <x v="4"/>
    <x v="1"/>
    <s v="MOGO"/>
    <x v="0"/>
    <s v="Yes"/>
    <m/>
    <s v="China"/>
    <s v="China"/>
    <s v="Pre Arrival"/>
  </r>
  <r>
    <s v="Chioma, Nwosu"/>
    <s v="M03000246"/>
    <s v="N0000000246"/>
    <s v="Initial"/>
    <s v="F-1"/>
    <x v="1"/>
    <x v="7"/>
    <x v="0"/>
    <s v="No"/>
    <x v="0"/>
    <m/>
    <m/>
    <s v="Nigeria"/>
    <s v="Nigeria"/>
    <s v="Pre Arrival"/>
  </r>
  <r>
    <s v="Njeri, Ann"/>
    <s v="M03000219"/>
    <s v="N0000000219"/>
    <s v="Initial"/>
    <s v="F-1"/>
    <x v="1"/>
    <x v="21"/>
    <x v="1"/>
    <s v="No"/>
    <x v="1"/>
    <m/>
    <m/>
    <s v="Kenya"/>
    <s v="Kenya"/>
    <s v="Pre Arrival"/>
  </r>
  <r>
    <s v="Bianchi, Davide"/>
    <s v="M03000359"/>
    <s v="N0000000359"/>
    <s v="Initial"/>
    <s v="F-1"/>
    <x v="0"/>
    <x v="24"/>
    <x v="1"/>
    <s v="No"/>
    <x v="0"/>
    <s v="Yes"/>
    <m/>
    <s v="Italy"/>
    <s v="Italy"/>
    <s v="Pre Arrival"/>
  </r>
  <r>
    <s v="Nguyen, Bao"/>
    <s v="M03000226"/>
    <s v="N0000000226"/>
    <s v="Initial"/>
    <s v="F-1"/>
    <x v="0"/>
    <x v="5"/>
    <x v="1"/>
    <s v="No"/>
    <x v="1"/>
    <m/>
    <m/>
    <s v="Vietnam"/>
    <s v="Vietnam"/>
    <s v="Pre Arrival"/>
  </r>
  <r>
    <s v="Kamau, Peter"/>
    <s v="M03000330"/>
    <s v="N0000000330"/>
    <s v="Initial"/>
    <s v="F-1"/>
    <x v="0"/>
    <x v="28"/>
    <x v="1"/>
    <s v="No"/>
    <x v="0"/>
    <s v="Denied"/>
    <m/>
    <s v="Kenya"/>
    <s v="Kenya"/>
    <s v="Pre Arrival"/>
  </r>
  <r>
    <s v="Priya, Sharma"/>
    <s v="M03000137"/>
    <s v="N0000000137"/>
    <s v="Initial"/>
    <s v="F-1"/>
    <x v="1"/>
    <x v="9"/>
    <x v="1"/>
    <s v="MOGO"/>
    <x v="1"/>
    <m/>
    <m/>
    <s v="India"/>
    <s v="India"/>
    <s v="Pre Arrival"/>
  </r>
  <r>
    <s v="Amaka, Obi"/>
    <s v="M03000090"/>
    <s v="N0000000090"/>
    <s v="Initial"/>
    <s v="F-1"/>
    <x v="1"/>
    <x v="9"/>
    <x v="1"/>
    <s v="No"/>
    <x v="1"/>
    <m/>
    <m/>
    <s v="Nigeria"/>
    <s v="Nigeria"/>
    <s v="Pre Arrival"/>
  </r>
  <r>
    <s v="Yaw, Owusu"/>
    <s v="M03000265"/>
    <s v="N0000000265"/>
    <s v="Initial"/>
    <s v="F-1"/>
    <x v="0"/>
    <x v="6"/>
    <x v="1"/>
    <s v="MOGO"/>
    <x v="1"/>
    <m/>
    <m/>
    <s v="Ghana"/>
    <s v="Ghana"/>
    <s v="Pre Arrival"/>
  </r>
  <r>
    <s v="Chioma, Nwosu"/>
    <s v="M03000260"/>
    <s v="N0000000260"/>
    <s v="Initial"/>
    <s v="F-1"/>
    <x v="1"/>
    <x v="4"/>
    <x v="1"/>
    <s v="No"/>
    <x v="1"/>
    <m/>
    <m/>
    <s v="Nigeria"/>
    <s v="Nigeria"/>
    <s v="Pre Arrival"/>
  </r>
  <r>
    <s v="Thapa, Richa"/>
    <s v="M03000313"/>
    <s v="N0000000313"/>
    <s v="Initial"/>
    <s v="F-1"/>
    <x v="1"/>
    <x v="7"/>
    <x v="1"/>
    <s v="MOGO"/>
    <x v="0"/>
    <m/>
    <m/>
    <s v="Nepal"/>
    <s v="Nepal"/>
    <s v="Pre Arrival"/>
  </r>
  <r>
    <s v="Esi, Owusu"/>
    <s v="M03000031"/>
    <s v="N0000000031"/>
    <s v="Initial"/>
    <s v="F-1"/>
    <x v="1"/>
    <x v="7"/>
    <x v="0"/>
    <s v="No"/>
    <x v="1"/>
    <m/>
    <m/>
    <s v="Ghana"/>
    <s v="Ghana"/>
    <s v="Pre Arrival"/>
  </r>
  <r>
    <s v="Pooja, Rani"/>
    <s v="M03000044"/>
    <s v="N0000000044"/>
    <s v="Initial"/>
    <s v="F-1"/>
    <x v="1"/>
    <x v="28"/>
    <x v="1"/>
    <s v="No"/>
    <x v="0"/>
    <s v="Yes"/>
    <s v="Emailed for Update"/>
    <s v="India"/>
    <s v="India"/>
    <s v="Pre Arrival"/>
  </r>
  <r>
    <s v="Anita, Patel"/>
    <s v="M03000271"/>
    <s v="N0000000271"/>
    <s v="Initial"/>
    <s v="F-1"/>
    <x v="1"/>
    <x v="27"/>
    <x v="1"/>
    <s v="No"/>
    <x v="1"/>
    <m/>
    <m/>
    <s v="India"/>
    <s v="India"/>
    <s v="Pre Arrival"/>
  </r>
  <r>
    <s v="Rahman, Fatima"/>
    <s v="M03000295"/>
    <s v="N0000000295"/>
    <s v="Initial"/>
    <s v="F-1"/>
    <x v="1"/>
    <x v="3"/>
    <x v="1"/>
    <s v="No"/>
    <x v="1"/>
    <m/>
    <m/>
    <s v="Bangladesh"/>
    <s v="Bangladesh"/>
    <s v="Pre Arrival"/>
  </r>
  <r>
    <s v="Hossain, Imran"/>
    <s v="M03000133"/>
    <s v="N0000000133"/>
    <s v="Initial"/>
    <s v="F-1"/>
    <x v="0"/>
    <x v="6"/>
    <x v="1"/>
    <s v="No"/>
    <x v="0"/>
    <m/>
    <m/>
    <s v="Bangladesh"/>
    <s v="Bangladesh"/>
    <s v="Pre Arrival"/>
  </r>
  <r>
    <s v="Kojo, Asante"/>
    <s v="M03000119"/>
    <s v="N0000000119"/>
    <s v="Initial"/>
    <s v="F-1"/>
    <x v="0"/>
    <x v="7"/>
    <x v="1"/>
    <s v="No"/>
    <x v="0"/>
    <m/>
    <m/>
    <s v="Ghana"/>
    <s v="Ghana"/>
    <s v="Pre Arrival"/>
  </r>
  <r>
    <s v="Ahmadi, Sina"/>
    <s v="M03000049"/>
    <s v="N0000000049"/>
    <s v="Initial"/>
    <s v="F-1"/>
    <x v="0"/>
    <x v="9"/>
    <x v="1"/>
    <s v="No"/>
    <x v="1"/>
    <m/>
    <m/>
    <s v="Iran"/>
    <s v="Iran"/>
    <s v="Pre Arrival"/>
  </r>
  <r>
    <s v="Khan, Rafi"/>
    <s v="M03000036"/>
    <s v="N0000000036"/>
    <s v="Initial"/>
    <s v="F-1"/>
    <x v="0"/>
    <x v="7"/>
    <x v="1"/>
    <s v="No"/>
    <x v="1"/>
    <m/>
    <m/>
    <s v="Bangladesh"/>
    <s v="Bangladesh"/>
    <s v="Pre Arrival"/>
  </r>
  <r>
    <s v="Amit, Sharma"/>
    <s v="M03000116"/>
    <s v="N0000000116"/>
    <s v="Initial"/>
    <s v="F-1"/>
    <x v="0"/>
    <x v="21"/>
    <x v="1"/>
    <s v="No"/>
    <x v="1"/>
    <m/>
    <m/>
    <s v="India"/>
    <s v="India"/>
    <s v="Pre Arrival"/>
  </r>
  <r>
    <s v="Ama, Nyarko"/>
    <s v="M03000039"/>
    <s v="N0000000039"/>
    <s v="Initial"/>
    <s v="F-1"/>
    <x v="1"/>
    <x v="7"/>
    <x v="1"/>
    <s v="No"/>
    <x v="0"/>
    <s v="Denied"/>
    <m/>
    <s v="Ghana"/>
    <s v="Ghana"/>
    <s v="Pre Arrival"/>
  </r>
  <r>
    <s v="Amaka, Obi"/>
    <s v="M03000351"/>
    <s v="N0000000351"/>
    <s v="Initial"/>
    <s v="F-1"/>
    <x v="1"/>
    <x v="5"/>
    <x v="0"/>
    <s v="No"/>
    <x v="1"/>
    <m/>
    <m/>
    <s v="Nigeria"/>
    <s v="Nigeria"/>
    <s v="Pre Arrival"/>
  </r>
  <r>
    <s v="Chioma, Nwosu"/>
    <s v="M03000004"/>
    <s v="N0000000004"/>
    <s v="Initial"/>
    <s v="F-1"/>
    <x v="1"/>
    <x v="7"/>
    <x v="0"/>
    <s v="No"/>
    <x v="0"/>
    <s v="Denied"/>
    <m/>
    <s v="Nigeria"/>
    <s v="Nigeria"/>
    <s v="Pre Arrival"/>
  </r>
  <r>
    <s v="Chioma, Nwosu"/>
    <s v="M03000159"/>
    <s v="N0000000159"/>
    <s v="Initial"/>
    <s v="F-1"/>
    <x v="1"/>
    <x v="5"/>
    <x v="1"/>
    <s v="No"/>
    <x v="1"/>
    <m/>
    <m/>
    <s v="Nigeria"/>
    <s v="Nigeria"/>
    <s v="Pre Arrival"/>
  </r>
  <r>
    <s v="Anil, Patel"/>
    <s v="M03000270"/>
    <s v="N0000000270"/>
    <s v="Initial"/>
    <s v="F-1"/>
    <x v="0"/>
    <x v="7"/>
    <x v="1"/>
    <s v="No"/>
    <x v="1"/>
    <m/>
    <m/>
    <s v="India"/>
    <s v="India"/>
    <s v="Pre Arrival"/>
  </r>
  <r>
    <s v="Otieno, Brian"/>
    <s v="M03000288"/>
    <s v="N0000000288"/>
    <s v="Initial"/>
    <s v="F-1"/>
    <x v="0"/>
    <x v="13"/>
    <x v="1"/>
    <s v="No"/>
    <x v="1"/>
    <m/>
    <m/>
    <s v="Kenya"/>
    <s v="Kenya"/>
    <s v="Pre Arrival"/>
  </r>
  <r>
    <s v="Ngozi, Okeke"/>
    <s v="M03000013"/>
    <s v="N0000000013"/>
    <s v="Initial"/>
    <s v="F-1"/>
    <x v="1"/>
    <x v="6"/>
    <x v="1"/>
    <s v="IPFW"/>
    <x v="1"/>
    <m/>
    <m/>
    <s v="Nigeria"/>
    <s v="Nigeria"/>
    <s v="Pre Arrival"/>
  </r>
  <r>
    <s v="Rahman, Hasan"/>
    <s v="M03000207"/>
    <s v="N0000000207"/>
    <s v="Initial"/>
    <s v="F-1"/>
    <x v="0"/>
    <x v="29"/>
    <x v="0"/>
    <s v="No"/>
    <x v="0"/>
    <s v="Yes"/>
    <m/>
    <s v="Bangladesh"/>
    <s v="Bangladesh"/>
    <s v="Pre Arrival"/>
  </r>
  <r>
    <s v="Funke, Ojo"/>
    <s v="M03000071"/>
    <s v="N0000000071"/>
    <s v="Initial"/>
    <s v="F-1"/>
    <x v="1"/>
    <x v="7"/>
    <x v="1"/>
    <s v="No"/>
    <x v="1"/>
    <m/>
    <m/>
    <s v="Nigeria"/>
    <s v="Nigeria"/>
    <s v="Pre Arrival"/>
  </r>
  <r>
    <s v="Gurung, Sita"/>
    <s v="M03000308"/>
    <s v="N0000000308"/>
    <s v="Initial"/>
    <s v="F-1"/>
    <x v="1"/>
    <x v="9"/>
    <x v="1"/>
    <s v="No"/>
    <x v="1"/>
    <m/>
    <m/>
    <s v="Nepal"/>
    <s v="Nepal"/>
    <s v="Pre Arrival"/>
  </r>
  <r>
    <s v="Funke, Ojo"/>
    <s v="M03000102"/>
    <s v="N0000000102"/>
    <s v="Initial"/>
    <s v="F-1"/>
    <x v="1"/>
    <x v="9"/>
    <x v="1"/>
    <s v="No"/>
    <x v="1"/>
    <m/>
    <m/>
    <s v="Nigeria"/>
    <s v="Nigeria"/>
    <s v="Pre Arrival"/>
  </r>
  <r>
    <s v="Gurung, Sita"/>
    <s v="M03000338"/>
    <s v="N0000000338"/>
    <s v="Initial"/>
    <s v="F-1"/>
    <x v="1"/>
    <x v="7"/>
    <x v="1"/>
    <s v="No"/>
    <x v="1"/>
    <m/>
    <m/>
    <s v="Nepal"/>
    <s v="Nepal"/>
    <s v="Pre Arrival"/>
  </r>
  <r>
    <s v="Kofi, Boateng"/>
    <s v="M03000111"/>
    <s v="N0000000111"/>
    <s v="Initial"/>
    <s v="F-1"/>
    <x v="0"/>
    <x v="11"/>
    <x v="1"/>
    <s v="MOGO"/>
    <x v="1"/>
    <m/>
    <m/>
    <s v="Ghana"/>
    <s v="Ghana"/>
    <s v="Pre Arrival"/>
  </r>
  <r>
    <s v="Sultana, Nusrat"/>
    <s v="M03000156"/>
    <s v="N0000000156"/>
    <s v="Initial"/>
    <s v="F-1"/>
    <x v="1"/>
    <x v="6"/>
    <x v="1"/>
    <s v="No"/>
    <x v="1"/>
    <m/>
    <m/>
    <s v="Bangladesh"/>
    <s v="Bangladesh"/>
    <s v="Pre Arrival"/>
  </r>
  <r>
    <s v="Ahmadi, Ladan"/>
    <s v="M03000352"/>
    <s v="N0000000352"/>
    <s v="Initial"/>
    <s v="F-1"/>
    <x v="1"/>
    <x v="7"/>
    <x v="1"/>
    <s v="No"/>
    <x v="1"/>
    <m/>
    <m/>
    <s v="Iran"/>
    <s v="Iran"/>
    <s v="Pre Arrival"/>
  </r>
  <r>
    <s v="Otieno, Brian"/>
    <s v="M03000218"/>
    <s v="N0000000218"/>
    <s v="Initial"/>
    <s v="F-1"/>
    <x v="0"/>
    <x v="28"/>
    <x v="1"/>
    <s v="No"/>
    <x v="1"/>
    <m/>
    <m/>
    <s v="Kenya"/>
    <s v="Kenya"/>
    <s v="Pre Arrival"/>
  </r>
  <r>
    <s v="Wang, Jun"/>
    <s v="M03000358"/>
    <s v="N0000000358"/>
    <s v="Initial"/>
    <s v="F-1"/>
    <x v="0"/>
    <x v="3"/>
    <x v="1"/>
    <s v="No"/>
    <x v="0"/>
    <s v="Yes"/>
    <m/>
    <s v="China"/>
    <s v="China"/>
    <s v="Pre Arrival"/>
  </r>
  <r>
    <s v="Tunde, Balogun"/>
    <s v="M03000266"/>
    <s v="N0000000266"/>
    <s v="Initial"/>
    <s v="F-1"/>
    <x v="0"/>
    <x v="9"/>
    <x v="1"/>
    <s v="MOGO/REFUND"/>
    <x v="1"/>
    <m/>
    <m/>
    <s v="Nigeria"/>
    <s v="Nigeria"/>
    <s v="Pre Arrival"/>
  </r>
  <r>
    <s v="Mwangi, Joseph"/>
    <s v="M03000349"/>
    <s v="N0000000349"/>
    <s v="Initial"/>
    <s v="F-1"/>
    <x v="0"/>
    <x v="9"/>
    <x v="1"/>
    <s v="No"/>
    <x v="0"/>
    <s v="Denied"/>
    <m/>
    <s v="Kenya"/>
    <s v="Kenya"/>
    <s v="Pre Arrival"/>
  </r>
  <r>
    <s v="Kiptoo, Daniel"/>
    <s v="M03000240"/>
    <s v="N0000000240"/>
    <s v="Initial"/>
    <s v="F-1"/>
    <x v="0"/>
    <x v="3"/>
    <x v="1"/>
    <s v="No"/>
    <x v="1"/>
    <m/>
    <m/>
    <s v="Kenya"/>
    <s v="Kenya"/>
    <s v="Pre Arrival"/>
  </r>
  <r>
    <s v="Hussain, Ali"/>
    <s v="M03000130"/>
    <s v="N0000000130"/>
    <s v="Initial"/>
    <s v="F-1"/>
    <x v="0"/>
    <x v="16"/>
    <x v="1"/>
    <s v="MOGO"/>
    <x v="0"/>
    <m/>
    <m/>
    <s v="Pakistan"/>
    <s v="Pakistan"/>
    <s v="Pre Arrival"/>
  </r>
  <r>
    <s v="Olu, Adewale"/>
    <s v="M03000003"/>
    <s v="N0000000003"/>
    <s v="Initial"/>
    <s v="F-1"/>
    <x v="0"/>
    <x v="30"/>
    <x v="1"/>
    <s v="No"/>
    <x v="0"/>
    <m/>
    <m/>
    <s v="Nigeria"/>
    <s v="Nigeria"/>
    <s v="Pre Arrival"/>
  </r>
  <r>
    <s v="Shrestha, Prakash"/>
    <s v="M03000332"/>
    <s v="N0000000332"/>
    <s v="Initial"/>
    <s v="F-1"/>
    <x v="0"/>
    <x v="9"/>
    <x v="1"/>
    <s v="No"/>
    <x v="0"/>
    <m/>
    <s v="Emailed for Update"/>
    <s v="Nepal"/>
    <s v="Nepal"/>
    <s v="Pre Arrival"/>
  </r>
  <r>
    <s v="Kofi, Boateng"/>
    <s v="M03000249"/>
    <s v="N0000000249"/>
    <s v="Initial"/>
    <s v="F-1"/>
    <x v="0"/>
    <x v="7"/>
    <x v="1"/>
    <s v="No"/>
    <x v="0"/>
    <m/>
    <m/>
    <s v="Ghana"/>
    <s v="Ghana"/>
    <s v="Pre Arrival"/>
  </r>
  <r>
    <s v="Akua, Addo"/>
    <s v="M03000108"/>
    <s v="N0000000108"/>
    <s v="Initial"/>
    <s v="F-1"/>
    <x v="1"/>
    <x v="5"/>
    <x v="1"/>
    <s v="IPFW"/>
    <x v="1"/>
    <m/>
    <m/>
    <s v="Ghana"/>
    <s v="Ghana"/>
    <s v="Pre Arrival"/>
  </r>
  <r>
    <s v="Wanjiru, Mary"/>
    <s v="M03000175"/>
    <s v="N0000000175"/>
    <s v="Initial"/>
    <s v="F-1"/>
    <x v="1"/>
    <x v="9"/>
    <x v="1"/>
    <s v="No"/>
    <x v="1"/>
    <m/>
    <m/>
    <s v="Kenya"/>
    <s v="Kenya"/>
    <s v="Pre Arrival"/>
  </r>
  <r>
    <s v="Pooja, Rani"/>
    <s v="M03000178"/>
    <s v="N0000000178"/>
    <s v="Initial"/>
    <s v="F-1"/>
    <x v="1"/>
    <x v="7"/>
    <x v="1"/>
    <s v="No"/>
    <x v="0"/>
    <s v="Yes"/>
    <s v="Enrolled"/>
    <s v="India"/>
    <s v="India"/>
    <s v="Pre Arrival"/>
  </r>
  <r>
    <s v="Rahman, Hasan"/>
    <s v="M03000074"/>
    <s v="N0000000074"/>
    <s v="Initial"/>
    <s v="F-1"/>
    <x v="0"/>
    <x v="7"/>
    <x v="1"/>
    <s v="No"/>
    <x v="1"/>
    <m/>
    <m/>
    <s v="Bangladesh"/>
    <s v="Bangladesh"/>
    <s v="Pre Arrival"/>
  </r>
  <r>
    <s v="Akter, Farzana"/>
    <s v="M03000267"/>
    <s v="N0000000267"/>
    <s v="Initial"/>
    <s v="F-1"/>
    <x v="1"/>
    <x v="7"/>
    <x v="0"/>
    <s v="No"/>
    <x v="0"/>
    <s v="Yes"/>
    <m/>
    <s v="Bangladesh"/>
    <s v="Bangladesh"/>
    <s v="Pre Arrival"/>
  </r>
  <r>
    <s v="Jung, Hana"/>
    <s v="M03000269"/>
    <s v="N0000000269"/>
    <s v="Initial"/>
    <s v="F-1"/>
    <x v="1"/>
    <x v="9"/>
    <x v="1"/>
    <s v="MOGO"/>
    <x v="1"/>
    <m/>
    <m/>
    <s v="South Korea"/>
    <s v="South Korea"/>
    <s v="Pre Arrival"/>
  </r>
  <r>
    <s v="Ifeanyi, Eze"/>
    <s v="M03000158"/>
    <s v="N0000000158"/>
    <s v="Initial"/>
    <s v="F-1"/>
    <x v="0"/>
    <x v="18"/>
    <x v="1"/>
    <s v="No"/>
    <x v="1"/>
    <m/>
    <m/>
    <s v="Nigeria"/>
    <s v="Nigeria"/>
    <s v="Pre Arrival"/>
  </r>
  <r>
    <s v="Bojang, Ousman"/>
    <s v="M03000150"/>
    <s v="N0000000150"/>
    <s v="Initial"/>
    <s v="F-1"/>
    <x v="0"/>
    <x v="25"/>
    <x v="1"/>
    <s v="No"/>
    <x v="0"/>
    <m/>
    <m/>
    <s v="Gambia, The"/>
    <s v="Gambia, The"/>
    <s v="Pre Arrival"/>
  </r>
  <r>
    <s v="Atieno, Sharon"/>
    <s v="M03000170"/>
    <s v="N0000000170"/>
    <s v="Initial"/>
    <s v="F-1"/>
    <x v="1"/>
    <x v="7"/>
    <x v="1"/>
    <s v="No"/>
    <x v="1"/>
    <m/>
    <m/>
    <s v="Kenya"/>
    <s v="Kenya"/>
    <s v="Pre Arrival"/>
  </r>
  <r>
    <s v="Amaka, Obi"/>
    <s v="M03000253"/>
    <s v="N0000000253"/>
    <s v="Initial"/>
    <s v="F-1"/>
    <x v="1"/>
    <x v="7"/>
    <x v="1"/>
    <s v="No"/>
    <x v="1"/>
    <m/>
    <m/>
    <s v="Nigeria"/>
    <s v="Nigeria"/>
    <s v="Pre Arrival"/>
  </r>
  <r>
    <s v="Ahmed, Karim"/>
    <s v="M03000060"/>
    <s v="N0000000060"/>
    <s v="Initial"/>
    <s v="F-1"/>
    <x v="0"/>
    <x v="21"/>
    <x v="0"/>
    <s v="No"/>
    <x v="0"/>
    <s v="Yes"/>
    <m/>
    <s v="Bangladesh"/>
    <s v="Bangladesh"/>
    <s v="Pre Arrival"/>
  </r>
  <r>
    <s v="Njeri, Ann"/>
    <s v="M03000256"/>
    <s v="N0000000256"/>
    <s v="Initial"/>
    <s v="F-1"/>
    <x v="1"/>
    <x v="7"/>
    <x v="0"/>
    <s v="No"/>
    <x v="0"/>
    <s v="Yes"/>
    <m/>
    <s v="Kenya"/>
    <s v="Kenya"/>
    <s v="Pre Arrival"/>
  </r>
  <r>
    <s v="Ravi, Singh"/>
    <s v="M03000085"/>
    <s v="N0000000085"/>
    <s v="Initial"/>
    <s v="F-1"/>
    <x v="0"/>
    <x v="7"/>
    <x v="1"/>
    <s v="No"/>
    <x v="1"/>
    <m/>
    <m/>
    <s v="India"/>
    <s v="India"/>
    <s v="Pre Arrival"/>
  </r>
  <r>
    <s v="Amaka, Obi"/>
    <s v="M03000059"/>
    <s v="N0000000059"/>
    <s v="Initial"/>
    <s v="F-1"/>
    <x v="1"/>
    <x v="5"/>
    <x v="0"/>
    <s v="No"/>
    <x v="1"/>
    <m/>
    <m/>
    <s v="Nigeria"/>
    <s v="Nigeria"/>
    <s v="Pre Arrival"/>
  </r>
  <r>
    <s v="Pooja, Rani"/>
    <s v="M03000078"/>
    <s v="N0000000078"/>
    <s v="Initial"/>
    <s v="F-1"/>
    <x v="1"/>
    <x v="10"/>
    <x v="1"/>
    <s v="MOGO"/>
    <x v="1"/>
    <m/>
    <m/>
    <s v="India"/>
    <s v="India"/>
    <s v="Pre Arrival"/>
  </r>
  <r>
    <s v="Olu, Adewale"/>
    <s v="M03000139"/>
    <s v="N0000000139"/>
    <s v="Initial"/>
    <s v="F-1"/>
    <x v="0"/>
    <x v="10"/>
    <x v="1"/>
    <s v="No"/>
    <x v="1"/>
    <m/>
    <m/>
    <s v="Nigeria"/>
    <s v="Nigeria"/>
    <s v="Pre Arrival"/>
  </r>
  <r>
    <s v="Ngozi, Okeke"/>
    <s v="M03000056"/>
    <s v="N0000000056"/>
    <s v="Initial"/>
    <s v="F-1"/>
    <x v="1"/>
    <x v="5"/>
    <x v="1"/>
    <s v="IPFW"/>
    <x v="0"/>
    <m/>
    <m/>
    <s v="Nigeria"/>
    <s v="Nigeria"/>
    <s v="Pre Arrival"/>
  </r>
  <r>
    <s v="Kwame, Mensah"/>
    <s v="M03000002"/>
    <s v="N0000000002"/>
    <s v="Initial"/>
    <s v="F-1"/>
    <x v="0"/>
    <x v="16"/>
    <x v="0"/>
    <s v="No"/>
    <x v="1"/>
    <m/>
    <m/>
    <s v="Ghana"/>
    <s v="Ghana"/>
    <s v="Pre Arrival"/>
  </r>
  <r>
    <s v="Chebet, Mercy"/>
    <s v="M03000255"/>
    <s v="N0000000255"/>
    <s v="Initial"/>
    <s v="F-1"/>
    <x v="1"/>
    <x v="7"/>
    <x v="1"/>
    <s v="MOGO"/>
    <x v="0"/>
    <m/>
    <m/>
    <s v="Kenya"/>
    <s v="Kenya"/>
    <s v="Pre Arrival"/>
  </r>
  <r>
    <s v="Otieno, Brian"/>
    <s v="M03000323"/>
    <s v="N0000000323"/>
    <s v="Initial"/>
    <s v="F-1"/>
    <x v="0"/>
    <x v="11"/>
    <x v="1"/>
    <s v="No"/>
    <x v="0"/>
    <m/>
    <m/>
    <s v="Kenya"/>
    <s v="Kenya"/>
    <s v="Pre Arrival"/>
  </r>
  <r>
    <s v="Chioma, Nwosu"/>
    <s v="M03000153"/>
    <s v="N0000000153"/>
    <s v="Initial"/>
    <s v="F-1"/>
    <x v="1"/>
    <x v="5"/>
    <x v="0"/>
    <s v="No"/>
    <x v="0"/>
    <s v="Yes"/>
    <m/>
    <s v="Nigeria"/>
    <s v="Nigeria"/>
    <s v="Pre Arrival"/>
  </r>
  <r>
    <s v="Chebet, Mercy"/>
    <s v="M03000238"/>
    <s v="N0000000238"/>
    <s v="Initial"/>
    <s v="F-1"/>
    <x v="1"/>
    <x v="5"/>
    <x v="1"/>
    <s v="IPFW"/>
    <x v="1"/>
    <m/>
    <m/>
    <s v="Kenya"/>
    <s v="Kenya"/>
    <s v="Pre Arrival"/>
  </r>
  <r>
    <s v="Lucia, Castro"/>
    <s v="M03000069"/>
    <s v="N0000000069"/>
    <s v="Initial"/>
    <s v="F-1"/>
    <x v="1"/>
    <x v="3"/>
    <x v="1"/>
    <s v="No"/>
    <x v="0"/>
    <s v="Yes"/>
    <m/>
    <s v="Peru"/>
    <s v="Peru"/>
    <s v="Pre Arrival"/>
  </r>
  <r>
    <s v="Rafael, Souza"/>
    <s v="M03000360"/>
    <s v="N0000000360"/>
    <s v="Initial"/>
    <s v="F-1"/>
    <x v="0"/>
    <x v="5"/>
    <x v="1"/>
    <s v="No"/>
    <x v="0"/>
    <s v="Yes"/>
    <m/>
    <s v="Brazil"/>
    <s v="Brazil"/>
    <s v="Pre Arrival"/>
  </r>
  <r>
    <s v="Yamamoto, Rina"/>
    <s v="M03000311"/>
    <s v="N0000000311"/>
    <s v="Initial"/>
    <s v="F-1"/>
    <x v="1"/>
    <x v="7"/>
    <x v="1"/>
    <s v="No"/>
    <x v="0"/>
    <s v="Yes"/>
    <m/>
    <s v="Japan"/>
    <s v="Japan"/>
    <s v="Pre Arrival"/>
  </r>
  <r>
    <s v="Priya, Sharma"/>
    <s v="M03000220"/>
    <s v="N0000000220"/>
    <s v="Initial"/>
    <s v="F-1"/>
    <x v="1"/>
    <x v="9"/>
    <x v="1"/>
    <s v="MOGO"/>
    <x v="0"/>
    <s v="Yes"/>
    <m/>
    <s v="India"/>
    <s v="India"/>
    <s v="Pre Arrival"/>
  </r>
  <r>
    <s v="Atieno, Sharon"/>
    <s v="M03000209"/>
    <s v="N0000000209"/>
    <s v="Initial"/>
    <s v="F-1"/>
    <x v="1"/>
    <x v="7"/>
    <x v="1"/>
    <s v="No"/>
    <x v="1"/>
    <m/>
    <m/>
    <s v="Kenya"/>
    <s v="Kenya"/>
    <s v="Pre Arrival"/>
  </r>
  <r>
    <s v="Njeri, Ann"/>
    <s v="M03000222"/>
    <s v="N0000000222"/>
    <s v="Initial"/>
    <s v="F-1"/>
    <x v="1"/>
    <x v="6"/>
    <x v="1"/>
    <s v="No"/>
    <x v="1"/>
    <m/>
    <m/>
    <s v="Kenya"/>
    <s v="Kenya"/>
    <s v="Pre Arrival"/>
  </r>
  <r>
    <s v="Jose, Quispe"/>
    <s v="M03000186"/>
    <s v="N0000000186"/>
    <s v="Initial"/>
    <s v="F-1"/>
    <x v="0"/>
    <x v="9"/>
    <x v="1"/>
    <s v="MOGO"/>
    <x v="1"/>
    <m/>
    <m/>
    <s v="Peru"/>
    <s v="Peru"/>
    <s v="Pre Arrival"/>
  </r>
  <r>
    <s v="Yamamoto, Rina"/>
    <s v="M03000144"/>
    <s v="N0000000144"/>
    <s v="Initial"/>
    <s v="F-1"/>
    <x v="1"/>
    <x v="5"/>
    <x v="0"/>
    <s v="No"/>
    <x v="0"/>
    <m/>
    <m/>
    <s v="Japan"/>
    <s v="Japan"/>
    <s v="Pre Arrival"/>
  </r>
  <r>
    <s v="Ahmed, Saad"/>
    <s v="M03000033"/>
    <s v="N0000000033"/>
    <s v="Initial"/>
    <s v="F-1"/>
    <x v="0"/>
    <x v="7"/>
    <x v="1"/>
    <s v="No"/>
    <x v="0"/>
    <s v="Yes"/>
    <m/>
    <s v="Pakistan"/>
    <s v="Pakistan"/>
    <s v="Pre Arrival"/>
  </r>
  <r>
    <s v="Kojo, Asante"/>
    <s v="M03000047"/>
    <s v="N0000000047"/>
    <s v="Initial"/>
    <s v="F-1"/>
    <x v="0"/>
    <x v="31"/>
    <x v="1"/>
    <s v="No"/>
    <x v="1"/>
    <m/>
    <m/>
    <s v="Ghana"/>
    <s v="Ghana"/>
    <s v="Pre Arrival"/>
  </r>
  <r>
    <s v="Emeka, Obi"/>
    <s v="M03000068"/>
    <s v="N0000000068"/>
    <s v="Initial"/>
    <s v="F-1"/>
    <x v="0"/>
    <x v="3"/>
    <x v="1"/>
    <s v="No"/>
    <x v="1"/>
    <m/>
    <m/>
    <s v="Nigeria"/>
    <s v="Nigeria"/>
    <s v="Pre Arrival"/>
  </r>
  <r>
    <s v="Raj, Kumar"/>
    <s v="M03000182"/>
    <s v="N0000000182"/>
    <s v="Initial"/>
    <s v="F-1"/>
    <x v="0"/>
    <x v="5"/>
    <x v="1"/>
    <s v="No"/>
    <x v="1"/>
    <m/>
    <m/>
    <s v="India"/>
    <s v="India"/>
    <s v="Pre Arrival"/>
  </r>
  <r>
    <s v="Chebet, Mercy"/>
    <s v="M03000172"/>
    <s v="N0000000172"/>
    <s v="Initial"/>
    <s v="F-1"/>
    <x v="1"/>
    <x v="9"/>
    <x v="1"/>
    <s v="No"/>
    <x v="0"/>
    <m/>
    <m/>
    <s v="Kenya"/>
    <s v="Kenya"/>
    <s v="Pre Arrival"/>
  </r>
  <r>
    <s v="Anita, Patel"/>
    <s v="M03000309"/>
    <s v="N0000000309"/>
    <s v="Initial"/>
    <s v="F-1"/>
    <x v="1"/>
    <x v="4"/>
    <x v="1"/>
    <s v="No"/>
    <x v="1"/>
    <m/>
    <m/>
    <s v="India"/>
    <s v="India"/>
    <s v="Pre Arrival"/>
  </r>
  <r>
    <s v="Hossain, Imran"/>
    <s v="M03000052"/>
    <s v="N0000000052"/>
    <s v="Initial"/>
    <s v="F-1"/>
    <x v="0"/>
    <x v="7"/>
    <x v="1"/>
    <s v="MOGO"/>
    <x v="1"/>
    <m/>
    <m/>
    <s v="Bangladesh"/>
    <s v="Bangladesh"/>
    <s v="Pre Arrival"/>
  </r>
  <r>
    <s v="Pooja, Rani"/>
    <s v="M03000282"/>
    <s v="N0000000282"/>
    <s v="Initial"/>
    <s v="F-1"/>
    <x v="1"/>
    <x v="7"/>
    <x v="1"/>
    <s v="No"/>
    <x v="1"/>
    <m/>
    <m/>
    <s v="India"/>
    <s v="India"/>
    <s v="Pre Arrival"/>
  </r>
  <r>
    <s v="Njeri, Ann"/>
    <s v="M03000149"/>
    <s v="N0000000149"/>
    <s v="Initial"/>
    <s v="F-1"/>
    <x v="1"/>
    <x v="9"/>
    <x v="1"/>
    <s v="MOGO"/>
    <x v="1"/>
    <m/>
    <m/>
    <s v="Kenya"/>
    <s v="Kenya"/>
    <s v="Pre Arrival"/>
  </r>
  <r>
    <s v="Akter, Farzana"/>
    <s v="M03000346"/>
    <s v="N0000000346"/>
    <s v="Initial"/>
    <s v="F-1"/>
    <x v="1"/>
    <x v="5"/>
    <x v="1"/>
    <s v="No"/>
    <x v="1"/>
    <m/>
    <m/>
    <s v="Bangladesh"/>
    <s v="Bangladesh"/>
    <s v="Pre Arrival"/>
  </r>
  <r>
    <s v="Achieng, Grace"/>
    <s v="M03000167"/>
    <s v="N0000000167"/>
    <s v="Initial"/>
    <s v="F-1"/>
    <x v="1"/>
    <x v="4"/>
    <x v="1"/>
    <s v="MOGO"/>
    <x v="0"/>
    <m/>
    <m/>
    <s v="Kenya"/>
    <s v="Kenya"/>
    <s v="Pre Arrival"/>
  </r>
  <r>
    <s v="Ali, Nimra"/>
    <s v="M03000072"/>
    <s v="N0000000072"/>
    <s v="Initial"/>
    <s v="F-1"/>
    <x v="1"/>
    <x v="9"/>
    <x v="1"/>
    <s v="No"/>
    <x v="1"/>
    <m/>
    <m/>
    <s v="Pakistan"/>
    <s v="Pakistan"/>
    <s v="Pre Arrival"/>
  </r>
  <r>
    <s v="Mwangi, Joseph"/>
    <s v="M03000237"/>
    <s v="N0000000237"/>
    <s v="Initial"/>
    <s v="F-1"/>
    <x v="0"/>
    <x v="16"/>
    <x v="1"/>
    <s v="MOGO"/>
    <x v="1"/>
    <m/>
    <m/>
    <s v="Kenya"/>
    <s v="Kenya"/>
    <s v="Pre Arrival"/>
  </r>
  <r>
    <s v="Anita, Patel"/>
    <s v="M03000055"/>
    <s v="N0000000055"/>
    <s v="Initial"/>
    <s v="F-1"/>
    <x v="1"/>
    <x v="7"/>
    <x v="1"/>
    <s v="No"/>
    <x v="0"/>
    <s v="Yes"/>
    <m/>
    <s v="India"/>
    <s v="India"/>
    <s v="Pre Arrival"/>
  </r>
  <r>
    <s v="Funke, Ojo"/>
    <s v="M03000104"/>
    <s v="N0000000104"/>
    <s v="Initial"/>
    <s v="F-1"/>
    <x v="1"/>
    <x v="7"/>
    <x v="1"/>
    <s v="No"/>
    <x v="1"/>
    <m/>
    <m/>
    <s v="Nigeria"/>
    <s v="Nigeria"/>
    <s v="Pre Arrival"/>
  </r>
  <r>
    <s v="Anil, Patel"/>
    <s v="M03000334"/>
    <s v="N0000000334"/>
    <s v="Initial"/>
    <s v="F-1"/>
    <x v="0"/>
    <x v="7"/>
    <x v="1"/>
    <s v="No"/>
    <x v="1"/>
    <m/>
    <m/>
    <s v="India"/>
    <s v="India"/>
    <s v="Pre Arrival"/>
  </r>
  <r>
    <s v="Rahman, Hasan"/>
    <s v="M03000006"/>
    <s v="N0000000006"/>
    <s v="Initial"/>
    <s v="F-1"/>
    <x v="0"/>
    <x v="28"/>
    <x v="1"/>
    <s v="MOGO"/>
    <x v="1"/>
    <m/>
    <m/>
    <s v="Bangladesh"/>
    <s v="Bangladesh"/>
    <s v="Pre Arrival"/>
  </r>
  <r>
    <s v="Esi, Owusu"/>
    <s v="M03000263"/>
    <s v="N0000000263"/>
    <s v="Initial"/>
    <s v="F-1"/>
    <x v="1"/>
    <x v="7"/>
    <x v="1"/>
    <s v="MOGO"/>
    <x v="1"/>
    <m/>
    <m/>
    <s v="Ghana"/>
    <s v="Ghana"/>
    <s v="Pre Arrival"/>
  </r>
  <r>
    <s v="Njeri, Ann"/>
    <s v="M03000177"/>
    <s v="N0000000177"/>
    <s v="Initial"/>
    <s v="F-1"/>
    <x v="1"/>
    <x v="7"/>
    <x v="1"/>
    <s v="MOGO"/>
    <x v="1"/>
    <m/>
    <m/>
    <s v="Kenya"/>
    <s v="Kenya"/>
    <s v="Pre Arrival"/>
  </r>
  <r>
    <s v="Ifeanyi, Eze"/>
    <s v="M03000026"/>
    <s v="N0000000026"/>
    <s v="Initial"/>
    <s v="F-1"/>
    <x v="0"/>
    <x v="7"/>
    <x v="1"/>
    <s v="No"/>
    <x v="0"/>
    <m/>
    <m/>
    <s v="Nigeria"/>
    <s v="Nigeria"/>
    <s v="Pre Arrival"/>
  </r>
  <r>
    <s v="Atieno, Sharon"/>
    <s v="M03000134"/>
    <s v="N0000000134"/>
    <s v="Initial"/>
    <s v="F-1"/>
    <x v="1"/>
    <x v="7"/>
    <x v="1"/>
    <s v="No"/>
    <x v="1"/>
    <m/>
    <m/>
    <s v="Kenya"/>
    <s v="Kenya"/>
    <s v="Pre Arrival"/>
  </r>
  <r>
    <s v="Akua, Addo"/>
    <s v="M03000181"/>
    <s v="N0000000181"/>
    <s v="Initial"/>
    <s v="F-1"/>
    <x v="1"/>
    <x v="5"/>
    <x v="0"/>
    <s v="No"/>
    <x v="1"/>
    <m/>
    <m/>
    <s v="Ghana"/>
    <s v="Ghana"/>
    <s v="Pre Arrival"/>
  </r>
  <r>
    <s v="Mwangi, Joseph"/>
    <s v="M03000122"/>
    <s v="N0000000122"/>
    <s v="Initial"/>
    <s v="F-1"/>
    <x v="0"/>
    <x v="32"/>
    <x v="1"/>
    <s v="MOGO"/>
    <x v="1"/>
    <m/>
    <m/>
    <s v="Kenya"/>
    <s v="Kenya"/>
    <s v="Pre Arrival"/>
  </r>
  <r>
    <s v="Funke, Ojo"/>
    <s v="M03000229"/>
    <s v="N0000000229"/>
    <s v="Initial"/>
    <s v="F-1"/>
    <x v="1"/>
    <x v="2"/>
    <x v="1"/>
    <s v="No"/>
    <x v="1"/>
    <m/>
    <m/>
    <s v="Nigeria"/>
    <s v="Nigeria"/>
    <s v="Pre Arrival"/>
  </r>
  <r>
    <s v="Anita, Patel"/>
    <s v="M03000084"/>
    <s v="N0000000084"/>
    <s v="Initial"/>
    <s v="F-1"/>
    <x v="1"/>
    <x v="6"/>
    <x v="1"/>
    <s v="No"/>
    <x v="1"/>
    <m/>
    <m/>
    <s v="India"/>
    <s v="India"/>
    <s v="Pre Arrival"/>
  </r>
  <r>
    <s v="Olu, Adewale"/>
    <s v="M03000230"/>
    <s v="N0000000230"/>
    <s v="Initial"/>
    <s v="F-1"/>
    <x v="0"/>
    <x v="6"/>
    <x v="1"/>
    <s v="No"/>
    <x v="1"/>
    <m/>
    <m/>
    <s v="Nigeria"/>
    <s v="Nigeria"/>
    <s v="Pre Arrival"/>
  </r>
  <r>
    <s v="Rahman, Hasan"/>
    <s v="M03000208"/>
    <s v="N0000000208"/>
    <s v="Initial"/>
    <s v="F-1"/>
    <x v="0"/>
    <x v="9"/>
    <x v="1"/>
    <s v="No"/>
    <x v="0"/>
    <m/>
    <m/>
    <s v="Bangladesh"/>
    <s v="Bangladesh"/>
    <s v="Pre Arrival"/>
  </r>
  <r>
    <s v="Putra, Andi"/>
    <s v="M03000322"/>
    <s v="N0000000322"/>
    <s v="Initial"/>
    <s v="F-1"/>
    <x v="0"/>
    <x v="7"/>
    <x v="0"/>
    <s v="No"/>
    <x v="0"/>
    <s v="Yes"/>
    <m/>
    <s v="Indonesia"/>
    <s v="Indonesia"/>
    <s v="Pre Arrival"/>
  </r>
  <r>
    <s v="Wanjiru, Mary"/>
    <s v="M03000155"/>
    <s v="N0000000155"/>
    <s v="Initial"/>
    <s v="F-1"/>
    <x v="1"/>
    <x v="9"/>
    <x v="1"/>
    <s v="No"/>
    <x v="1"/>
    <m/>
    <m/>
    <s v="Kenya"/>
    <s v="Kenya"/>
    <s v="Pre Arrival"/>
  </r>
  <r>
    <s v="Atieno, Sharon"/>
    <s v="M03000225"/>
    <s v="N0000000225"/>
    <s v="Initial"/>
    <s v="F-1"/>
    <x v="1"/>
    <x v="9"/>
    <x v="1"/>
    <s v="No"/>
    <x v="1"/>
    <m/>
    <m/>
    <s v="Kenya"/>
    <s v="Kenya"/>
    <s v="Pre Arrival"/>
  </r>
  <r>
    <s v="Akua, Addo"/>
    <s v="M03000021"/>
    <s v="N0000000021"/>
    <s v="Initial"/>
    <s v="F-1"/>
    <x v="1"/>
    <x v="5"/>
    <x v="1"/>
    <s v="IPFW"/>
    <x v="1"/>
    <m/>
    <m/>
    <s v="Ghana"/>
    <s v="Ghana"/>
    <s v="Pre Arrival"/>
  </r>
  <r>
    <s v="Wanjiru, Mary"/>
    <s v="M03000168"/>
    <s v="N0000000168"/>
    <s v="Initial"/>
    <s v="F-1"/>
    <x v="1"/>
    <x v="4"/>
    <x v="1"/>
    <s v="No"/>
    <x v="0"/>
    <m/>
    <m/>
    <s v="Kenya"/>
    <s v="Kenya"/>
    <s v="Pre Arrival"/>
  </r>
  <r>
    <s v="Karki, Dipesh"/>
    <s v="M03000345"/>
    <s v="N0000000345"/>
    <s v="Initial"/>
    <s v="F-1"/>
    <x v="0"/>
    <x v="23"/>
    <x v="1"/>
    <s v="No"/>
    <x v="1"/>
    <m/>
    <m/>
    <s v="Nepal"/>
    <s v="Nepal"/>
    <s v="Pre Arrival"/>
  </r>
  <r>
    <s v="Yaw, Owusu"/>
    <s v="M03000241"/>
    <s v="N0000000241"/>
    <s v="Initial"/>
    <s v="F-1"/>
    <x v="0"/>
    <x v="24"/>
    <x v="1"/>
    <s v="No"/>
    <x v="1"/>
    <m/>
    <m/>
    <s v="Ghana"/>
    <s v="Ghana"/>
    <s v="Pre Arrival"/>
  </r>
  <r>
    <s v="Amaka, Obi"/>
    <s v="M03000107"/>
    <s v="N0000000107"/>
    <s v="Initial"/>
    <s v="F-1"/>
    <x v="1"/>
    <x v="5"/>
    <x v="1"/>
    <s v="No"/>
    <x v="1"/>
    <m/>
    <m/>
    <s v="Nigeria"/>
    <s v="Nigeria"/>
    <s v="Pre Arrival"/>
  </r>
  <r>
    <s v="Akter, Farzana"/>
    <s v="M03000297"/>
    <s v="N0000000297"/>
    <s v="Initial"/>
    <s v="F-1"/>
    <x v="1"/>
    <x v="7"/>
    <x v="1"/>
    <s v="No"/>
    <x v="1"/>
    <m/>
    <m/>
    <s v="Bangladesh"/>
    <s v="Bangladesh"/>
    <s v="Pre Arrival"/>
  </r>
  <r>
    <s v="Pooja, Rani"/>
    <s v="M03000285"/>
    <s v="N0000000285"/>
    <s v="Initial"/>
    <s v="F-1"/>
    <x v="1"/>
    <x v="9"/>
    <x v="1"/>
    <s v="No"/>
    <x v="1"/>
    <m/>
    <m/>
    <s v="India"/>
    <s v="India"/>
    <s v="Pre Arrival"/>
  </r>
  <r>
    <s v="Achieng, Grace"/>
    <s v="M03000227"/>
    <s v="N0000000227"/>
    <s v="Initial"/>
    <s v="F-1"/>
    <x v="1"/>
    <x v="7"/>
    <x v="1"/>
    <s v="No"/>
    <x v="0"/>
    <m/>
    <m/>
    <s v="Kenya"/>
    <s v="Kenya"/>
    <s v="Pre Arrival"/>
  </r>
  <r>
    <s v="Pooja, Rani"/>
    <s v="M03000268"/>
    <s v="N0000000268"/>
    <s v="Initial"/>
    <s v="F-1"/>
    <x v="1"/>
    <x v="7"/>
    <x v="1"/>
    <s v="No"/>
    <x v="1"/>
    <m/>
    <m/>
    <s v="India"/>
    <s v="India"/>
    <s v="Pre Arrival"/>
  </r>
  <r>
    <s v="Ifeanyi, Eze"/>
    <s v="M03000009"/>
    <s v="N0000000009"/>
    <s v="Initial"/>
    <s v="F-1"/>
    <x v="0"/>
    <x v="7"/>
    <x v="1"/>
    <s v="No"/>
    <x v="0"/>
    <s v="Yes"/>
    <s v="Transfer-Out"/>
    <s v="Nigeria"/>
    <s v="Nigeria"/>
    <s v="Pre Arrival"/>
  </r>
  <r>
    <s v="Olu, Adewale"/>
    <s v="M03000185"/>
    <s v="N0000000185"/>
    <s v="Initial"/>
    <s v="F-1"/>
    <x v="0"/>
    <x v="28"/>
    <x v="1"/>
    <s v="No"/>
    <x v="0"/>
    <m/>
    <s v="Deferred SP26"/>
    <s v="Nigeria"/>
    <s v="Nigeria"/>
    <s v="Pre Arrival"/>
  </r>
  <r>
    <s v="Kwame, Mensah"/>
    <s v="M03000245"/>
    <s v="N0000000245"/>
    <s v="Initial"/>
    <s v="F-1"/>
    <x v="0"/>
    <x v="4"/>
    <x v="0"/>
    <s v="No"/>
    <x v="0"/>
    <s v="Yes"/>
    <m/>
    <s v="Ghana"/>
    <s v="Ghana"/>
    <s v="Pre Arrival"/>
  </r>
  <r>
    <s v="Gurung, Suresh"/>
    <s v="M03000008"/>
    <s v="N0000000008"/>
    <s v="Initial"/>
    <s v="F-1"/>
    <x v="0"/>
    <x v="27"/>
    <x v="1"/>
    <s v="MOGO"/>
    <x v="1"/>
    <d v="2025-07-28T00:00:00"/>
    <m/>
    <s v="Nepal"/>
    <s v="Nepal"/>
    <s v="Pre Arrival"/>
  </r>
  <r>
    <s v="Shrestha, Anju"/>
    <s v="M03000281"/>
    <s v="N0000000281"/>
    <s v="Initial"/>
    <s v="F-1"/>
    <x v="1"/>
    <x v="27"/>
    <x v="1"/>
    <s v="No"/>
    <x v="1"/>
    <m/>
    <m/>
    <s v="Nepal"/>
    <s v="Nepal"/>
    <s v="Pre Arrival"/>
  </r>
  <r>
    <s v="Sultana, Nusrat"/>
    <s v="M03000081"/>
    <s v="N0000000081"/>
    <s v="Initial"/>
    <s v="F-1"/>
    <x v="1"/>
    <x v="1"/>
    <x v="1"/>
    <s v="No"/>
    <x v="1"/>
    <m/>
    <m/>
    <s v="Bangladesh"/>
    <s v="Bangladesh"/>
    <s v="Pre Arrival"/>
  </r>
  <r>
    <s v="Chinedu, Okafor"/>
    <s v="M03000233"/>
    <s v="N0000000233"/>
    <s v="Initial"/>
    <s v="F-1"/>
    <x v="0"/>
    <x v="23"/>
    <x v="1"/>
    <s v="No"/>
    <x v="0"/>
    <m/>
    <m/>
    <s v="Nigeria"/>
    <s v="Nigeria"/>
    <s v="Pre Arrival"/>
  </r>
  <r>
    <s v="Wanjiru, Mary"/>
    <s v="M03000083"/>
    <s v="N0000000083"/>
    <s v="Initial"/>
    <s v="F-1"/>
    <x v="1"/>
    <x v="31"/>
    <x v="1"/>
    <s v="MOGO"/>
    <x v="0"/>
    <m/>
    <m/>
    <s v="Kenya"/>
    <s v="Kenya"/>
    <s v="Pre Arrival"/>
  </r>
  <r>
    <s v="Amit, Sharma"/>
    <s v="M03000203"/>
    <s v="N0000000203"/>
    <s v="Initial"/>
    <s v="F-1"/>
    <x v="0"/>
    <x v="9"/>
    <x v="1"/>
    <s v="No"/>
    <x v="0"/>
    <s v="Yes"/>
    <s v="Enrolled"/>
    <s v="India"/>
    <s v="India"/>
    <s v="Pre Arrival"/>
  </r>
  <r>
    <s v="Chebet, Mercy"/>
    <s v="M03000259"/>
    <s v="N0000000259"/>
    <s v="Initial"/>
    <s v="F-1"/>
    <x v="1"/>
    <x v="9"/>
    <x v="0"/>
    <s v="No"/>
    <x v="1"/>
    <m/>
    <m/>
    <s v="Kenya"/>
    <s v="Kenya"/>
    <s v="Pre Arrival"/>
  </r>
  <r>
    <s v="Esi, Owusu"/>
    <s v="M03000261"/>
    <s v="N0000000261"/>
    <s v="Initial"/>
    <s v="F-1"/>
    <x v="1"/>
    <x v="6"/>
    <x v="1"/>
    <s v="No"/>
    <x v="1"/>
    <m/>
    <m/>
    <s v="Ghana"/>
    <s v="Ghana"/>
    <s v="Pre Arrival"/>
  </r>
  <r>
    <s v="Kamau, Peter"/>
    <s v="M03000034"/>
    <s v="N0000000034"/>
    <s v="Initial"/>
    <s v="F-1"/>
    <x v="0"/>
    <x v="9"/>
    <x v="1"/>
    <s v="No"/>
    <x v="1"/>
    <m/>
    <m/>
    <s v="Kenya"/>
    <s v="Kenya"/>
    <s v="Pre Arrival"/>
  </r>
  <r>
    <s v="Kwame, Mensah"/>
    <s v="M03000053"/>
    <s v="N0000000053"/>
    <s v="Initial"/>
    <s v="F-1"/>
    <x v="0"/>
    <x v="5"/>
    <x v="1"/>
    <s v="MOGO"/>
    <x v="1"/>
    <m/>
    <m/>
    <s v="Ghana"/>
    <s v="Ghana"/>
    <s v="Pre Arrival"/>
  </r>
  <r>
    <s v="Tunde, Balogun"/>
    <s v="M03000140"/>
    <s v="N0000000140"/>
    <s v="Initial"/>
    <s v="F-1"/>
    <x v="0"/>
    <x v="22"/>
    <x v="1"/>
    <s v="No"/>
    <x v="1"/>
    <m/>
    <m/>
    <s v="Nigeria"/>
    <s v="Nigeria"/>
    <s v="Pre Arrival"/>
  </r>
  <r>
    <s v="Ahmed, Karim"/>
    <s v="M03000063"/>
    <s v="N0000000063"/>
    <s v="Initial"/>
    <s v="F-1"/>
    <x v="0"/>
    <x v="5"/>
    <x v="0"/>
    <s v="No"/>
    <x v="0"/>
    <s v="Yes"/>
    <m/>
    <s v="Bangladesh"/>
    <s v="Bangladesh"/>
    <s v="Pre Arrival"/>
  </r>
  <r>
    <s v="Islam, Tania"/>
    <s v="M03000302"/>
    <s v="N0000000302"/>
    <s v="Initial"/>
    <s v="F-1"/>
    <x v="1"/>
    <x v="20"/>
    <x v="1"/>
    <s v="No"/>
    <x v="1"/>
    <m/>
    <m/>
    <s v="Bangladesh"/>
    <s v="Bangladesh"/>
    <s v="Pre Arrival"/>
  </r>
  <r>
    <s v="Rahman, Fatima"/>
    <s v="M03000215"/>
    <s v="N0000000215"/>
    <s v="Initial"/>
    <s v="F-1"/>
    <x v="1"/>
    <x v="21"/>
    <x v="1"/>
    <s v="No"/>
    <x v="1"/>
    <m/>
    <m/>
    <s v="Bangladesh"/>
    <s v="Bangladesh"/>
    <s v="Pre Arrival"/>
  </r>
  <r>
    <s v="Karimi, Neda"/>
    <s v="M03000166"/>
    <s v="N0000000166"/>
    <s v="Initial"/>
    <s v="F-1"/>
    <x v="1"/>
    <x v="3"/>
    <x v="1"/>
    <s v="No"/>
    <x v="1"/>
    <m/>
    <m/>
    <s v="Iran"/>
    <s v="Iran"/>
    <s v="Pre Arrival"/>
  </r>
  <r>
    <s v="Islam, Tania"/>
    <s v="M03000299"/>
    <s v="N0000000299"/>
    <s v="Initial"/>
    <s v="F-1"/>
    <x v="1"/>
    <x v="9"/>
    <x v="0"/>
    <s v="No"/>
    <x v="0"/>
    <m/>
    <m/>
    <s v="Bangladesh"/>
    <s v="Bangladesh"/>
    <s v="Pre Arrival"/>
  </r>
  <r>
    <s v="Tunde, Balogun"/>
    <s v="M03000014"/>
    <s v="N0000000014"/>
    <s v="Initial"/>
    <s v="F-1"/>
    <x v="0"/>
    <x v="9"/>
    <x v="1"/>
    <s v="IPFW"/>
    <x v="1"/>
    <m/>
    <m/>
    <s v="Nigeria"/>
    <s v="Nigeria"/>
    <s v="Pre Arrival"/>
  </r>
  <r>
    <s v="Priya, Sharma"/>
    <s v="M03000223"/>
    <s v="N0000000223"/>
    <s v="Initial"/>
    <s v="F-1"/>
    <x v="1"/>
    <x v="5"/>
    <x v="1"/>
    <s v="No"/>
    <x v="1"/>
    <m/>
    <m/>
    <s v="India"/>
    <s v="India"/>
    <s v="Pre Arrival"/>
  </r>
  <r>
    <s v="Chioma, Nwosu"/>
    <s v="M03000235"/>
    <s v="N0000000235"/>
    <s v="Initial"/>
    <s v="F-1"/>
    <x v="1"/>
    <x v="5"/>
    <x v="1"/>
    <s v="No"/>
    <x v="1"/>
    <m/>
    <m/>
    <s v="Nigeria"/>
    <s v="Nigeria"/>
    <s v="Pre Arrival"/>
  </r>
  <r>
    <s v="Begum, Aisha"/>
    <s v="M03000194"/>
    <s v="N0000000194"/>
    <s v="Initial"/>
    <s v="F-1"/>
    <x v="1"/>
    <x v="3"/>
    <x v="1"/>
    <s v="No"/>
    <x v="1"/>
    <m/>
    <m/>
    <s v="Bangladesh"/>
    <s v="Bangladesh"/>
    <s v="Pre Arrival"/>
  </r>
  <r>
    <s v="Ngozi, Okeke"/>
    <s v="M03000354"/>
    <s v="N0000000354"/>
    <s v="Initial"/>
    <s v="F-1"/>
    <x v="1"/>
    <x v="9"/>
    <x v="1"/>
    <s v="MOGO"/>
    <x v="0"/>
    <m/>
    <m/>
    <s v="Nigeria"/>
    <s v="Nigeria"/>
    <s v="Pre Arrival"/>
  </r>
  <r>
    <s v="Amaka, Obi"/>
    <s v="M03000101"/>
    <s v="N0000000101"/>
    <s v="Initial"/>
    <s v="F-1"/>
    <x v="1"/>
    <x v="9"/>
    <x v="1"/>
    <s v="No"/>
    <x v="0"/>
    <m/>
    <m/>
    <s v="Nigeria"/>
    <s v="Nigeria"/>
    <s v="Pre Arrival"/>
  </r>
  <r>
    <s v="Atieno, Sharon"/>
    <s v="M03000300"/>
    <s v="N0000000300"/>
    <s v="Initial"/>
    <s v="F-1"/>
    <x v="1"/>
    <x v="5"/>
    <x v="1"/>
    <s v="MOGO"/>
    <x v="1"/>
    <m/>
    <m/>
    <s v="Kenya"/>
    <s v="Kenya"/>
    <s v="Pre Arrival"/>
  </r>
  <r>
    <s v="Priya, Sharma"/>
    <s v="M03000273"/>
    <s v="N0000000273"/>
    <s v="Initial"/>
    <s v="F-1"/>
    <x v="1"/>
    <x v="3"/>
    <x v="1"/>
    <s v="No"/>
    <x v="0"/>
    <m/>
    <m/>
    <s v="India"/>
    <s v="India"/>
    <s v="Pre Arrival"/>
  </r>
  <r>
    <s v="Ali, Nayeem"/>
    <s v="M03000136"/>
    <s v="N0000000136"/>
    <s v="Initial"/>
    <s v="F-1"/>
    <x v="0"/>
    <x v="5"/>
    <x v="1"/>
    <s v="MOGO"/>
    <x v="0"/>
    <m/>
    <m/>
    <s v="Bangladesh"/>
    <s v="Bangladesh"/>
    <s v="Pre Arrival"/>
  </r>
  <r>
    <s v="Raj, Kumar"/>
    <s v="M03000315"/>
    <s v="N0000000315"/>
    <s v="Initial"/>
    <s v="F-1"/>
    <x v="0"/>
    <x v="2"/>
    <x v="1"/>
    <s v="MOGO"/>
    <x v="0"/>
    <m/>
    <s v="Emailed for Update"/>
    <s v="India"/>
    <s v="India"/>
    <s v="Pre Arrival"/>
  </r>
  <r>
    <s v="Khan, Hamza"/>
    <s v="M03000337"/>
    <s v="N0000000337"/>
    <s v="Initial"/>
    <s v="F-1"/>
    <x v="0"/>
    <x v="7"/>
    <x v="1"/>
    <s v="No"/>
    <x v="0"/>
    <m/>
    <m/>
    <s v="Pakistan"/>
    <s v="Pakistan"/>
    <s v="Pre Arrival"/>
  </r>
  <r>
    <s v="Pooja, Rani"/>
    <s v="M03000204"/>
    <s v="N0000000204"/>
    <s v="Initial"/>
    <s v="F-1"/>
    <x v="1"/>
    <x v="9"/>
    <x v="1"/>
    <s v="No"/>
    <x v="1"/>
    <m/>
    <m/>
    <s v="India"/>
    <s v="India"/>
    <s v="Pre Arrival"/>
  </r>
  <r>
    <s v="Rahman, Fatima"/>
    <s v="M03000141"/>
    <s v="N0000000141"/>
    <s v="Initial"/>
    <s v="F-1"/>
    <x v="1"/>
    <x v="11"/>
    <x v="1"/>
    <s v="MOGO"/>
    <x v="0"/>
    <s v="Yes"/>
    <m/>
    <s v="Bangladesh"/>
    <s v="Bangladesh"/>
    <s v="Pre Arrival"/>
  </r>
  <r>
    <s v="Funke, Ojo"/>
    <s v="M03000045"/>
    <s v="N0000000045"/>
    <s v="Initial"/>
    <s v="F-1"/>
    <x v="1"/>
    <x v="25"/>
    <x v="1"/>
    <s v="No"/>
    <x v="1"/>
    <m/>
    <m/>
    <s v="Nigeria"/>
    <s v="Nigeria"/>
    <s v="Pre Arrival"/>
  </r>
  <r>
    <s v="Ifeanyi, Eze"/>
    <s v="M03000243"/>
    <s v="N0000000243"/>
    <s v="Initial"/>
    <s v="F-1"/>
    <x v="0"/>
    <x v="7"/>
    <x v="1"/>
    <s v="No"/>
    <x v="1"/>
    <m/>
    <m/>
    <s v="Nigeria"/>
    <s v="Nigeria"/>
    <s v="Pre Arrival"/>
  </r>
  <r>
    <s v="Karki, Dipesh"/>
    <s v="M03000317"/>
    <s v="N0000000317"/>
    <s v="Initial"/>
    <s v="F-1"/>
    <x v="0"/>
    <x v="7"/>
    <x v="1"/>
    <s v="No"/>
    <x v="1"/>
    <m/>
    <m/>
    <s v="Nepal"/>
    <s v="Nepal"/>
    <s v="Pre Arrival"/>
  </r>
  <r>
    <s v="Achieng, Grace"/>
    <s v="M03000318"/>
    <s v="N0000000318"/>
    <s v="Initial"/>
    <s v="F-1"/>
    <x v="1"/>
    <x v="7"/>
    <x v="0"/>
    <s v="No"/>
    <x v="0"/>
    <s v="Yes"/>
    <m/>
    <s v="Kenya"/>
    <s v="Kenya"/>
    <s v="Pre Arrival"/>
  </r>
  <r>
    <s v="Otieno, Brian"/>
    <s v="M03000162"/>
    <s v="N0000000162"/>
    <s v="Initial"/>
    <s v="F-1"/>
    <x v="0"/>
    <x v="5"/>
    <x v="1"/>
    <s v="No"/>
    <x v="1"/>
    <m/>
    <m/>
    <s v="Kenya"/>
    <s v="Kenya"/>
    <s v="Pre Arrival"/>
  </r>
  <r>
    <s v="Pooja, Rani"/>
    <s v="M03000113"/>
    <s v="N0000000113"/>
    <s v="Initial"/>
    <s v="F-1"/>
    <x v="1"/>
    <x v="5"/>
    <x v="1"/>
    <s v="No"/>
    <x v="1"/>
    <m/>
    <m/>
    <s v="India"/>
    <s v="India"/>
    <s v="Pre Arrival"/>
  </r>
  <r>
    <s v="Njeri, Ann"/>
    <s v="M03000145"/>
    <s v="N0000000145"/>
    <s v="Initial"/>
    <s v="F-1"/>
    <x v="1"/>
    <x v="9"/>
    <x v="1"/>
    <s v="No"/>
    <x v="1"/>
    <m/>
    <m/>
    <s v="Kenya"/>
    <s v="Kenya"/>
    <s v="Pre Arrival"/>
  </r>
  <r>
    <s v="Gurung, Suresh"/>
    <s v="M03000189"/>
    <s v="N0000000189"/>
    <s v="Initial"/>
    <s v="F-1"/>
    <x v="0"/>
    <x v="9"/>
    <x v="1"/>
    <s v="No"/>
    <x v="0"/>
    <s v="Yes"/>
    <s v="Enrolled"/>
    <s v="Nepal"/>
    <s v="Nepal"/>
    <s v="Pre Arrival"/>
  </r>
  <r>
    <s v="Thapa, Manoj"/>
    <s v="M03000123"/>
    <s v="N0000000123"/>
    <s v="Initial"/>
    <s v="F-1"/>
    <x v="0"/>
    <x v="9"/>
    <x v="1"/>
    <s v="MOGO"/>
    <x v="0"/>
    <s v="Yes"/>
    <s v="Enrolled"/>
    <s v="Nepal"/>
    <s v="Nepal"/>
    <s v="Pre Arrival"/>
  </r>
  <r>
    <s v="Othman, Imran"/>
    <s v="M03000087"/>
    <s v="N0000000087"/>
    <s v="Initial"/>
    <s v="F-1"/>
    <x v="0"/>
    <x v="6"/>
    <x v="0"/>
    <s v="MOGO"/>
    <x v="0"/>
    <s v="Yes"/>
    <m/>
    <s v="Malaysia"/>
    <s v="Malaysia"/>
    <s v="Pre Arrival"/>
  </r>
  <r>
    <s v="Yetunde, Adeyemi"/>
    <s v="M03000236"/>
    <s v="N0000000236"/>
    <s v="Initial"/>
    <s v="F-1"/>
    <x v="1"/>
    <x v="9"/>
    <x v="1"/>
    <s v="No"/>
    <x v="0"/>
    <m/>
    <m/>
    <s v="Nigeria"/>
    <s v="Nigeria"/>
    <s v="Pre Arrival"/>
  </r>
  <r>
    <s v="Funke, Ojo"/>
    <s v="M03000103"/>
    <s v="N0000000103"/>
    <s v="Initial"/>
    <s v="F-1"/>
    <x v="1"/>
    <x v="7"/>
    <x v="1"/>
    <s v="No"/>
    <x v="1"/>
    <m/>
    <m/>
    <s v="Nigeria"/>
    <s v="Nigeria"/>
    <s v="Pre Arrival"/>
  </r>
  <r>
    <s v="Tunde, Balogun"/>
    <s v="M03000012"/>
    <s v="N0000000012"/>
    <s v="Initial"/>
    <s v="F-1"/>
    <x v="0"/>
    <x v="16"/>
    <x v="1"/>
    <s v="No"/>
    <x v="1"/>
    <m/>
    <m/>
    <s v="Nigeria"/>
    <s v="Nigeria"/>
    <s v="Pre Arrival"/>
  </r>
  <r>
    <s v="Funke, Ojo"/>
    <s v="M03000242"/>
    <s v="N0000000242"/>
    <s v="Initial"/>
    <s v="F-1"/>
    <x v="1"/>
    <x v="4"/>
    <x v="1"/>
    <s v="No"/>
    <x v="1"/>
    <m/>
    <m/>
    <s v="Nigeria"/>
    <s v="Nigeria"/>
    <s v="Pre Arrival"/>
  </r>
  <r>
    <s v="Lee, Jiwon"/>
    <s v="M03000188"/>
    <s v="N0000000188"/>
    <s v="Initial"/>
    <s v="F-1"/>
    <x v="1"/>
    <x v="7"/>
    <x v="0"/>
    <s v="No"/>
    <x v="0"/>
    <s v="Yes"/>
    <m/>
    <s v="South Korea"/>
    <s v="South Korea"/>
    <s v="Pre Arrival"/>
  </r>
  <r>
    <s v="Chebet, Mercy"/>
    <s v="M03000191"/>
    <s v="N0000000191"/>
    <s v="Initial"/>
    <s v="F-1"/>
    <x v="1"/>
    <x v="9"/>
    <x v="1"/>
    <s v="No"/>
    <x v="0"/>
    <m/>
    <m/>
    <s v="Kenya"/>
    <s v="Kenya"/>
    <s v="Pre Arrival"/>
  </r>
  <r>
    <s v="Raj, Kumar"/>
    <s v="M03000350"/>
    <s v="N0000000350"/>
    <s v="Initial"/>
    <s v="F-1"/>
    <x v="0"/>
    <x v="7"/>
    <x v="1"/>
    <s v="No"/>
    <x v="1"/>
    <m/>
    <m/>
    <s v="India"/>
    <s v="India"/>
    <s v="Pre Arrival"/>
  </r>
  <r>
    <s v="Amit, Sharma"/>
    <s v="M03000080"/>
    <s v="N0000000080"/>
    <s v="Initial"/>
    <s v="F-1"/>
    <x v="0"/>
    <x v="6"/>
    <x v="1"/>
    <s v="No"/>
    <x v="1"/>
    <m/>
    <m/>
    <s v="India"/>
    <s v="India"/>
    <s v="Pre Arrival"/>
  </r>
  <r>
    <s v="Amaka, Obi"/>
    <s v="M03000286"/>
    <s v="N0000000286"/>
    <s v="Initial"/>
    <s v="F-1"/>
    <x v="1"/>
    <x v="24"/>
    <x v="1"/>
    <s v="No"/>
    <x v="0"/>
    <m/>
    <m/>
    <s v="Nigeria"/>
    <s v="Nigeria"/>
    <s v="Pre Arrival"/>
  </r>
  <r>
    <s v="Kiptoo, Daniel"/>
    <s v="M03000211"/>
    <s v="N0000000211"/>
    <s v="Initial"/>
    <s v="F-1"/>
    <x v="0"/>
    <x v="27"/>
    <x v="1"/>
    <s v="No"/>
    <x v="1"/>
    <m/>
    <m/>
    <s v="Kenya"/>
    <s v="Kenya"/>
    <s v="Pre Arrival"/>
  </r>
  <r>
    <s v="Ali, Nayeem"/>
    <s v="M03000221"/>
    <s v="N0000000221"/>
    <s v="Initial"/>
    <s v="F-1"/>
    <x v="0"/>
    <x v="28"/>
    <x v="1"/>
    <s v="No"/>
    <x v="1"/>
    <m/>
    <m/>
    <s v="Bangladesh"/>
    <s v="Bangladesh"/>
    <s v="Pre Arrival"/>
  </r>
  <r>
    <s v="Adwoa, Serwaa"/>
    <s v="M03000129"/>
    <s v="N0000000129"/>
    <s v="Initial"/>
    <s v="F-1"/>
    <x v="1"/>
    <x v="9"/>
    <x v="1"/>
    <s v="MOGO"/>
    <x v="1"/>
    <m/>
    <m/>
    <s v="Ghana"/>
    <s v="Ghana"/>
    <s v="Pre Arrival"/>
  </r>
  <r>
    <s v="Hossain, Imran"/>
    <s v="M03000161"/>
    <s v="N0000000161"/>
    <s v="Initial"/>
    <s v="F-1"/>
    <x v="0"/>
    <x v="10"/>
    <x v="0"/>
    <s v="No"/>
    <x v="1"/>
    <m/>
    <m/>
    <s v="Bangladesh"/>
    <s v="Bangladesh"/>
    <s v="Pre Arrival"/>
  </r>
  <r>
    <s v="Chinedu, Okafor"/>
    <s v="M03000247"/>
    <s v="N0000000247"/>
    <s v="Initial"/>
    <s v="F-1"/>
    <x v="0"/>
    <x v="19"/>
    <x v="1"/>
    <s v="No"/>
    <x v="1"/>
    <m/>
    <m/>
    <s v="Nigeria"/>
    <s v="Nigeria"/>
    <s v="Pre Arrival"/>
  </r>
  <r>
    <s v="Jammeh, Mariama"/>
    <s v="M03000152"/>
    <s v="N0000000152"/>
    <s v="Initial"/>
    <s v="F-1"/>
    <x v="1"/>
    <x v="7"/>
    <x v="1"/>
    <s v="No"/>
    <x v="1"/>
    <m/>
    <m/>
    <s v="Gambia, The"/>
    <s v="Gambia, The"/>
    <s v="Pre Arrival"/>
  </r>
  <r>
    <s v="Sultana, Nusrat"/>
    <s v="M03000347"/>
    <s v="N0000000347"/>
    <s v="Initial"/>
    <s v="F-1"/>
    <x v="1"/>
    <x v="5"/>
    <x v="1"/>
    <s v="No"/>
    <x v="0"/>
    <m/>
    <m/>
    <s v="Bangladesh"/>
    <s v="Bangladesh"/>
    <s v="Pre Arrival"/>
  </r>
  <r>
    <s v="Le, Mai"/>
    <s v="M03000187"/>
    <s v="N0000000187"/>
    <s v="Initial"/>
    <s v="F-1"/>
    <x v="1"/>
    <x v="7"/>
    <x v="1"/>
    <s v="No"/>
    <x v="0"/>
    <m/>
    <m/>
    <s v="Vietnam"/>
    <s v="Vietnam"/>
    <s v="Pre Arrival"/>
  </r>
  <r>
    <s v="Anita, Patel"/>
    <s v="M03000272"/>
    <s v="N0000000272"/>
    <s v="Initial"/>
    <s v="F-1"/>
    <x v="1"/>
    <x v="6"/>
    <x v="1"/>
    <s v="No"/>
    <x v="1"/>
    <m/>
    <m/>
    <s v="India"/>
    <s v="India"/>
    <s v="Pre Arrival"/>
  </r>
  <r>
    <s v="Mohammadi, Sara"/>
    <s v="M03000329"/>
    <s v="N0000000329"/>
    <s v="Initial"/>
    <s v="F-1"/>
    <x v="1"/>
    <x v="5"/>
    <x v="0"/>
    <s v="No"/>
    <x v="0"/>
    <s v="Denied"/>
    <m/>
    <s v="Iran"/>
    <s v="Iran"/>
    <s v="Pre Arrival"/>
  </r>
  <r>
    <s v="Priya, Sharma"/>
    <s v="M03000183"/>
    <s v="N0000000183"/>
    <s v="Initial"/>
    <s v="F-1"/>
    <x v="1"/>
    <x v="31"/>
    <x v="1"/>
    <s v="No"/>
    <x v="1"/>
    <m/>
    <m/>
    <s v="India"/>
    <s v="India"/>
    <s v="Pre Arrival"/>
  </r>
  <r>
    <s v="Shrestha, Prakash"/>
    <s v="M03000075"/>
    <s v="N0000000075"/>
    <s v="Initial"/>
    <s v="F-1"/>
    <x v="0"/>
    <x v="23"/>
    <x v="1"/>
    <s v="MOGO"/>
    <x v="0"/>
    <m/>
    <m/>
    <s v="Nepal"/>
    <s v="Nepal"/>
    <s v="Pre Arrival"/>
  </r>
  <r>
    <s v="Wanjiru, Mary"/>
    <s v="M03000301"/>
    <s v="N0000000301"/>
    <s v="Initial"/>
    <s v="F-1"/>
    <x v="1"/>
    <x v="9"/>
    <x v="1"/>
    <s v="No"/>
    <x v="1"/>
    <m/>
    <m/>
    <s v="Kenya"/>
    <s v="Kenya"/>
    <s v="Pre Arrival"/>
  </r>
  <r>
    <s v="Amit, Sharma"/>
    <s v="M03000117"/>
    <s v="N0000000117"/>
    <s v="Initial"/>
    <s v="F-1"/>
    <x v="0"/>
    <x v="5"/>
    <x v="1"/>
    <s v="No"/>
    <x v="1"/>
    <m/>
    <m/>
    <s v="India"/>
    <s v="India"/>
    <s v="Pre Arrival"/>
  </r>
  <r>
    <s v="Khan, Rafi"/>
    <s v="M03000289"/>
    <s v="N0000000289"/>
    <s v="Initial"/>
    <s v="F-1"/>
    <x v="0"/>
    <x v="7"/>
    <x v="0"/>
    <s v="MOGO"/>
    <x v="0"/>
    <m/>
    <m/>
    <s v="Bangladesh"/>
    <s v="Bangladesh"/>
    <s v="Pre Arrival"/>
  </r>
  <r>
    <s v="Neha, Gupta"/>
    <s v="M03000073"/>
    <s v="N0000000073"/>
    <s v="Initial"/>
    <s v="F-1"/>
    <x v="1"/>
    <x v="9"/>
    <x v="1"/>
    <s v="No"/>
    <x v="1"/>
    <m/>
    <m/>
    <s v="India"/>
    <s v="India"/>
    <s v="Pre Arrival"/>
  </r>
  <r>
    <s v="Khan, Rafi"/>
    <s v="M03000294"/>
    <s v="N0000000294"/>
    <s v="Initial"/>
    <s v="F-1"/>
    <x v="0"/>
    <x v="9"/>
    <x v="1"/>
    <s v="No"/>
    <x v="1"/>
    <m/>
    <m/>
    <s v="Bangladesh"/>
    <s v="Bangladesh"/>
    <s v="Pre Arrival"/>
  </r>
  <r>
    <s v="Shah, Usman"/>
    <s v="M03000355"/>
    <s v="N0000000355"/>
    <s v="Initial"/>
    <s v="F-1"/>
    <x v="0"/>
    <x v="1"/>
    <x v="1"/>
    <s v="MOGO"/>
    <x v="1"/>
    <m/>
    <m/>
    <s v="Pakistan"/>
    <s v="Pakistan"/>
    <s v="Pre Arrival"/>
  </r>
  <r>
    <s v="Bold, Saruul"/>
    <s v="M03000284"/>
    <s v="N0000000284"/>
    <s v="Initial"/>
    <s v="F-1"/>
    <x v="1"/>
    <x v="5"/>
    <x v="0"/>
    <s v="No"/>
    <x v="0"/>
    <m/>
    <m/>
    <s v="Mongolia"/>
    <s v="Mongolia"/>
    <s v="Pre Arrival"/>
  </r>
  <r>
    <s v="Wang, Mei"/>
    <s v="M03000096"/>
    <s v="N0000000096"/>
    <s v="Initial"/>
    <s v="F-1"/>
    <x v="1"/>
    <x v="1"/>
    <x v="1"/>
    <s v="No"/>
    <x v="0"/>
    <s v="Yes"/>
    <m/>
    <s v="China"/>
    <s v="China"/>
    <s v="Pre Arrival"/>
  </r>
  <r>
    <s v="Tanaka, Hiroshi"/>
    <s v="M03000312"/>
    <s v="N0000000312"/>
    <s v="Initial"/>
    <s v="F-1"/>
    <x v="0"/>
    <x v="1"/>
    <x v="1"/>
    <s v="No"/>
    <x v="0"/>
    <s v="Yes"/>
    <m/>
    <s v="Japan"/>
    <s v="Japan"/>
    <s v="Pre Arrival"/>
  </r>
  <r>
    <s v="Yetunde, Adeyemi"/>
    <s v="M03000198"/>
    <s v="N0000000198"/>
    <s v="Initial"/>
    <s v="F-1"/>
    <x v="1"/>
    <x v="11"/>
    <x v="0"/>
    <s v="No"/>
    <x v="0"/>
    <s v="Yes"/>
    <m/>
    <s v="Nigeria"/>
    <s v="Nigeria"/>
    <s v="Pre Arrival"/>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4">
  <r>
    <s v="Kojo, Asante"/>
    <s v="M03000205"/>
    <s v="N0000000205"/>
    <s v="Initial"/>
    <s v="F-1"/>
    <s v="Male"/>
    <s v="Business Admin-STEM-MBA"/>
    <s v="Yes"/>
    <s v="No"/>
    <x v="0"/>
    <s v="Yes"/>
    <m/>
    <s v="Ghana"/>
    <s v="Ghana"/>
    <s v="Pre Arrival"/>
  </r>
  <r>
    <s v="Kofi, Boateng"/>
    <s v="M03000348"/>
    <s v="N0000000348"/>
    <s v="Initial"/>
    <s v="F-1"/>
    <s v="Male"/>
    <s v="Information Technology-MS"/>
    <s v="No"/>
    <s v="No"/>
    <x v="1"/>
    <m/>
    <m/>
    <s v="Ghana"/>
    <s v="Ghana"/>
    <s v="Pre Arrival"/>
  </r>
  <r>
    <s v="Ali, Nayeem"/>
    <s v="M03000097"/>
    <s v="N0000000097"/>
    <s v="Initial"/>
    <s v="F-1"/>
    <s v="Male"/>
    <s v="Information Technology-MS"/>
    <s v="No"/>
    <s v="No"/>
    <x v="0"/>
    <s v="Yes"/>
    <s v="Enrolled"/>
    <s v="Bangladesh"/>
    <s v="Bangladesh"/>
    <s v="Pre Arrival"/>
  </r>
  <r>
    <s v="Sultana, Nusrat"/>
    <s v="M03000024"/>
    <s v="N0000000024"/>
    <s v="Initial"/>
    <s v="F-1"/>
    <s v="Female"/>
    <s v="Music, Master of-MM"/>
    <s v="No"/>
    <s v="MOGO"/>
    <x v="0"/>
    <m/>
    <m/>
    <s v="Bangladesh"/>
    <s v="Bangladesh"/>
    <s v="Pre Arrival"/>
  </r>
  <r>
    <s v="Kojo, Asante"/>
    <s v="M03000020"/>
    <s v="N0000000020"/>
    <s v="Initial"/>
    <s v="F-1"/>
    <s v="Male"/>
    <s v="Accountancy-MACC"/>
    <s v="No"/>
    <s v="No"/>
    <x v="1"/>
    <m/>
    <m/>
    <s v="Ghana"/>
    <s v="Ghana"/>
    <s v="Pre Arrival"/>
  </r>
  <r>
    <s v="Khan, Rafi"/>
    <s v="M03000274"/>
    <s v="N0000000274"/>
    <s v="Initial"/>
    <s v="F-1"/>
    <s v="Male"/>
    <s v="Educational Technology-MSED"/>
    <s v="No"/>
    <s v="No"/>
    <x v="1"/>
    <m/>
    <m/>
    <s v="Bangladesh"/>
    <s v="Bangladesh"/>
    <s v="Pre Arrival"/>
  </r>
  <r>
    <s v="Sultana, Nusrat"/>
    <s v="M03000016"/>
    <s v="N0000000016"/>
    <s v="Initial"/>
    <s v="F-1"/>
    <s v="Female"/>
    <s v="Project Management-MS"/>
    <s v="No"/>
    <s v="MOGO"/>
    <x v="1"/>
    <m/>
    <m/>
    <s v="Bangladesh"/>
    <s v="Bangladesh"/>
    <s v="Pre Arrival"/>
  </r>
  <r>
    <s v="Khan, Rafi"/>
    <s v="M03000212"/>
    <s v="N0000000212"/>
    <s v="Initial"/>
    <s v="F-1"/>
    <s v="Male"/>
    <s v="Public Health-MPH"/>
    <s v="No"/>
    <s v="No"/>
    <x v="1"/>
    <m/>
    <m/>
    <s v="Bangladesh"/>
    <s v="Bangladesh"/>
    <s v="Pre Arrival"/>
  </r>
  <r>
    <s v="Kwame, Mensah"/>
    <s v="M03000064"/>
    <s v="N0000000064"/>
    <s v="Initial"/>
    <s v="F-1"/>
    <s v="Male"/>
    <s v="Educational Technology-MSED"/>
    <s v="Yes"/>
    <s v="No"/>
    <x v="1"/>
    <m/>
    <m/>
    <s v="Ghana"/>
    <s v="Ghana"/>
    <s v="Pre Arrival"/>
  </r>
  <r>
    <s v="Suresh, Gupta"/>
    <s v="M03000195"/>
    <s v="N0000000195"/>
    <s v="Initial"/>
    <s v="F-1"/>
    <s v="Male"/>
    <s v="Business Admin-MBA"/>
    <s v="No"/>
    <s v="No"/>
    <x v="1"/>
    <m/>
    <m/>
    <s v="India"/>
    <s v="India"/>
    <s v="Pre Arrival"/>
  </r>
  <r>
    <s v="Priya, Sharma"/>
    <s v="M03000124"/>
    <s v="N0000000124"/>
    <s v="Initial"/>
    <s v="F-1"/>
    <s v="Female"/>
    <s v="Business Admin-MBA"/>
    <s v="No"/>
    <s v="No"/>
    <x v="0"/>
    <m/>
    <s v="Emailed for Update"/>
    <s v="India"/>
    <s v="India"/>
    <s v="Pre Arrival"/>
  </r>
  <r>
    <s v="Anil, Patel"/>
    <s v="M03000216"/>
    <s v="N0000000216"/>
    <s v="Initial"/>
    <s v="F-1"/>
    <s v="Male"/>
    <s v="Dramatic Writing-MFA"/>
    <s v="No"/>
    <s v="MOGO"/>
    <x v="1"/>
    <m/>
    <m/>
    <s v="India"/>
    <s v="India"/>
    <s v="Pre Arrival"/>
  </r>
  <r>
    <s v="Gurung, Suresh"/>
    <s v="M03000089"/>
    <s v="N0000000089"/>
    <s v="Initial"/>
    <s v="F-1"/>
    <s v="Male"/>
    <s v="Computer Science-MS"/>
    <s v="No"/>
    <s v="MOGO"/>
    <x v="0"/>
    <m/>
    <s v="Deferred SP26"/>
    <s v="Nepal"/>
    <s v="Nepal"/>
    <s v="Pre Arrival"/>
  </r>
  <r>
    <s v="Hossain, Imran"/>
    <s v="M03000093"/>
    <s v="N0000000093"/>
    <s v="Initial"/>
    <s v="F-1"/>
    <s v="Male"/>
    <s v="Business Admin-MBA"/>
    <s v="Yes"/>
    <s v="No"/>
    <x v="0"/>
    <s v="Yes"/>
    <m/>
    <s v="Bangladesh"/>
    <s v="Bangladesh"/>
    <s v="Pre Arrival"/>
  </r>
  <r>
    <s v="Phiri, Ruth"/>
    <s v="M03000184"/>
    <s v="N0000000184"/>
    <s v="Initial"/>
    <s v="F-1"/>
    <s v="Female"/>
    <s v="Counseling/Clin Mental Hlth-MS"/>
    <s v="No"/>
    <s v="No"/>
    <x v="0"/>
    <s v="Yes"/>
    <s v="Transfer-Out"/>
    <s v="Zambia"/>
    <s v="Zambia"/>
    <s v="Pre Arrival"/>
  </r>
  <r>
    <s v="Khan, Rafi"/>
    <s v="M03000022"/>
    <s v="N0000000022"/>
    <s v="Initial"/>
    <s v="F-1"/>
    <s v="Male"/>
    <s v="Public Health-MPH"/>
    <s v="Yes"/>
    <s v="No"/>
    <x v="1"/>
    <m/>
    <m/>
    <s v="Bangladesh"/>
    <s v="Bangladesh"/>
    <s v="Pre Arrival"/>
  </r>
  <r>
    <s v="Funke, Ojo"/>
    <s v="M03000058"/>
    <s v="N0000000058"/>
    <s v="Initial"/>
    <s v="F-1"/>
    <s v="Female"/>
    <s v="Communication-MA"/>
    <s v="Yes"/>
    <s v="No"/>
    <x v="0"/>
    <m/>
    <m/>
    <s v="Nigeria"/>
    <s v="Nigeria"/>
    <s v="Pre Arrival"/>
  </r>
  <r>
    <s v="Tunde, Balogun"/>
    <s v="M03000257"/>
    <s v="N0000000257"/>
    <s v="Initial"/>
    <s v="F-1"/>
    <s v="Male"/>
    <s v="Plant Science-EP Dept-MS"/>
    <s v="No"/>
    <s v="No"/>
    <x v="1"/>
    <m/>
    <m/>
    <s v="Nigeria"/>
    <s v="Nigeria"/>
    <s v="Pre Arrival"/>
  </r>
  <r>
    <s v="Njeri, Ann"/>
    <s v="M03000176"/>
    <s v="N0000000176"/>
    <s v="Initial"/>
    <s v="F-1"/>
    <s v="Female"/>
    <s v="Business Admin-MBA"/>
    <s v="No"/>
    <s v="No"/>
    <x v="1"/>
    <m/>
    <m/>
    <s v="Kenya"/>
    <s v="Kenya"/>
    <s v="Pre Arrival"/>
  </r>
  <r>
    <s v="Anita, Patel"/>
    <s v="M03000296"/>
    <s v="N0000000296"/>
    <s v="Initial"/>
    <s v="F-1"/>
    <s v="Female"/>
    <s v="Health Promo &amp; Wellness Mgt-MS"/>
    <s v="No"/>
    <s v="MOGO"/>
    <x v="1"/>
    <m/>
    <m/>
    <s v="India"/>
    <s v="India"/>
    <s v="Pre Arrival"/>
  </r>
  <r>
    <s v="Olu, Adewale"/>
    <s v="M03000305"/>
    <s v="N0000000305"/>
    <s v="Initial"/>
    <s v="F-1"/>
    <s v="Male"/>
    <s v="Psychology/Industrial Org-MS"/>
    <s v="Yes"/>
    <s v="No"/>
    <x v="0"/>
    <m/>
    <m/>
    <s v="Nigeria"/>
    <s v="Nigeria"/>
    <s v="Pre Arrival"/>
  </r>
  <r>
    <s v="Yetunde, Adeyemi"/>
    <s v="M03000018"/>
    <s v="N0000000018"/>
    <s v="Initial"/>
    <s v="F-1"/>
    <s v="Female"/>
    <s v="Business Admin-MBA"/>
    <s v="No"/>
    <s v="MOGO"/>
    <x v="1"/>
    <m/>
    <m/>
    <s v="Nigeria"/>
    <s v="Nigeria"/>
    <s v="Pre Arrival"/>
  </r>
  <r>
    <s v="Kamau, Peter"/>
    <s v="M03000244"/>
    <s v="N0000000244"/>
    <s v="Initial"/>
    <s v="F-1"/>
    <s v="Male"/>
    <s v="Project Management-MS"/>
    <s v="No"/>
    <s v="No"/>
    <x v="1"/>
    <m/>
    <m/>
    <s v="Kenya"/>
    <s v="Kenya"/>
    <s v="Pre Arrival"/>
  </r>
  <r>
    <s v="Esi, Owusu"/>
    <s v="M03000007"/>
    <s v="N0000000007"/>
    <s v="Initial"/>
    <s v="F-1"/>
    <s v="Female"/>
    <s v="Business Admin-MBA"/>
    <s v="No"/>
    <s v="No"/>
    <x v="0"/>
    <m/>
    <m/>
    <s v="Ghana"/>
    <s v="Ghana"/>
    <s v="Pre Arrival"/>
  </r>
  <r>
    <s v="Rahman, Hasan"/>
    <s v="M03000290"/>
    <s v="N0000000290"/>
    <s v="Initial"/>
    <s v="F-1"/>
    <s v="Male"/>
    <s v="Computer Science-MS"/>
    <s v="No"/>
    <s v="No"/>
    <x v="1"/>
    <m/>
    <m/>
    <s v="Bangladesh"/>
    <s v="Bangladesh"/>
    <s v="Pre Arrival"/>
  </r>
  <r>
    <s v="Amaka, Obi"/>
    <s v="M03000234"/>
    <s v="N0000000234"/>
    <s v="Initial"/>
    <s v="F-1"/>
    <s v="Female"/>
    <s v="Audiology-AUD"/>
    <s v="Yes"/>
    <s v="No"/>
    <x v="0"/>
    <s v="Yes"/>
    <m/>
    <s v="Nigeria"/>
    <s v="Nigeria"/>
    <s v="Pre Arrival"/>
  </r>
  <r>
    <s v="Kiptoo, Daniel"/>
    <s v="M03000174"/>
    <s v="N0000000174"/>
    <s v="Initial"/>
    <s v="F-1"/>
    <s v="Male"/>
    <s v="Public Health-MPH"/>
    <s v="No"/>
    <s v="No"/>
    <x v="1"/>
    <m/>
    <m/>
    <s v="Kenya"/>
    <s v="Kenya"/>
    <s v="Pre Arrival"/>
  </r>
  <r>
    <s v="Anil, Patel"/>
    <s v="M03000320"/>
    <s v="N0000000320"/>
    <s v="Initial"/>
    <s v="F-1"/>
    <s v="Male"/>
    <s v="Business Admin-MBA"/>
    <s v="No"/>
    <s v="No"/>
    <x v="1"/>
    <m/>
    <m/>
    <s v="India"/>
    <s v="India"/>
    <s v="Pre Arrival"/>
  </r>
  <r>
    <s v="Camila, Rocha"/>
    <s v="M03000361"/>
    <s v="N0000000361"/>
    <s v="Initial"/>
    <s v="F-1"/>
    <s v="Female"/>
    <s v="Accountancy-MACC"/>
    <s v="Yes"/>
    <s v="No"/>
    <x v="0"/>
    <s v="Yes"/>
    <m/>
    <s v="Brazil"/>
    <s v="Brazil"/>
    <s v="Pre Arrival"/>
  </r>
  <r>
    <s v="Ali, Nayeem"/>
    <s v="M03000196"/>
    <s v="N0000000196"/>
    <s v="Initial"/>
    <s v="F-1"/>
    <s v="Male"/>
    <s v="Computer Science-MS"/>
    <s v="No"/>
    <s v="No"/>
    <x v="1"/>
    <m/>
    <m/>
    <s v="Bangladesh"/>
    <s v="Bangladesh"/>
    <s v="Pre Arrival"/>
  </r>
  <r>
    <s v="Gabriel, Santos"/>
    <s v="M03000356"/>
    <s v="N0000000356"/>
    <s v="Initial"/>
    <s v="F-1"/>
    <s v="Male"/>
    <s v="Computer Science-MS"/>
    <s v="No"/>
    <s v="No"/>
    <x v="0"/>
    <s v="Yes"/>
    <m/>
    <s v="Brazil"/>
    <s v="Brazil"/>
    <s v="Pre Arrival"/>
  </r>
  <r>
    <s v="Ahmadi, Ladan"/>
    <s v="M03000050"/>
    <s v="N0000000050"/>
    <s v="Initial"/>
    <s v="F-1"/>
    <s v="Female"/>
    <s v="Educational Technology-MSED"/>
    <s v="No"/>
    <s v="No"/>
    <x v="1"/>
    <m/>
    <m/>
    <s v="Iran"/>
    <s v="Iran"/>
    <m/>
  </r>
  <r>
    <s v="Yetunde, Adeyemi"/>
    <s v="M03000206"/>
    <s v="N0000000206"/>
    <s v="Initial"/>
    <s v="F-1"/>
    <s v="Female"/>
    <s v="Project Management-MS"/>
    <s v="No"/>
    <s v="No"/>
    <x v="1"/>
    <m/>
    <m/>
    <s v="Nigeria"/>
    <s v="Nigeria"/>
    <s v="Pre Arrival"/>
  </r>
  <r>
    <s v="Hossain, Imran"/>
    <s v="M03000005"/>
    <s v="N0000000005"/>
    <s v="Initial"/>
    <s v="F-1"/>
    <s v="Male"/>
    <s v="Project Management-MS"/>
    <s v="No"/>
    <s v="No"/>
    <x v="1"/>
    <m/>
    <m/>
    <s v="Bangladesh"/>
    <s v="Bangladesh"/>
    <s v="Pre Arrival"/>
  </r>
  <r>
    <s v="Chinedu, Okafor"/>
    <s v="M03000043"/>
    <s v="N0000000043"/>
    <s v="Initial"/>
    <s v="F-1"/>
    <s v="Male"/>
    <s v="Business Admin-MBA"/>
    <s v="No"/>
    <s v="No"/>
    <x v="1"/>
    <m/>
    <m/>
    <s v="Nigeria"/>
    <s v="Nigeria"/>
    <s v="Pre Arrival"/>
  </r>
  <r>
    <s v="Adhikari, Nisha"/>
    <s v="M03000325"/>
    <s v="N0000000325"/>
    <s v="Initial"/>
    <s v="F-1"/>
    <s v="Female"/>
    <s v="International Affairs-MIA"/>
    <s v="No"/>
    <s v="No"/>
    <x v="1"/>
    <m/>
    <m/>
    <s v="Nepal"/>
    <s v="Nepal"/>
    <s v="Pre Arrival"/>
  </r>
  <r>
    <s v="Achieng, Grace"/>
    <s v="M03000250"/>
    <s v="N0000000250"/>
    <s v="Initial"/>
    <s v="F-1"/>
    <s v="Female"/>
    <s v="Biology-MS"/>
    <s v="No"/>
    <s v="No"/>
    <x v="1"/>
    <m/>
    <m/>
    <s v="Kenya"/>
    <s v="Kenya"/>
    <s v="Pre Arrival"/>
  </r>
  <r>
    <s v="Kamau, Peter"/>
    <s v="M03000214"/>
    <s v="N0000000214"/>
    <s v="Initial"/>
    <s v="F-1"/>
    <s v="Male"/>
    <s v="Computer Science-MS"/>
    <s v="No"/>
    <s v="MOGO"/>
    <x v="1"/>
    <m/>
    <m/>
    <s v="Kenya"/>
    <s v="Kenya"/>
    <s v="Pre Arrival"/>
  </r>
  <r>
    <s v="Nguyen, Lan"/>
    <s v="M03000088"/>
    <s v="N0000000088"/>
    <s v="Initial"/>
    <s v="F-1"/>
    <s v="Female"/>
    <s v="Business Admin-MBA"/>
    <s v="No"/>
    <s v="No"/>
    <x v="0"/>
    <s v="Yes"/>
    <m/>
    <s v="Vietnam"/>
    <s v="Vietnam"/>
    <s v="Pre Arrival"/>
  </r>
  <r>
    <s v="Begum, Aisha"/>
    <s v="M03000279"/>
    <s v="N0000000279"/>
    <s v="Initial"/>
    <s v="F-1"/>
    <s v="Female"/>
    <s v="International Affairs-MIA"/>
    <s v="No"/>
    <s v="No"/>
    <x v="1"/>
    <m/>
    <m/>
    <s v="Bangladesh"/>
    <s v="Bangladesh"/>
    <s v="Pre Arrival"/>
  </r>
  <r>
    <s v="Raj, Kumar"/>
    <s v="M03000067"/>
    <s v="N0000000067"/>
    <s v="Initial"/>
    <s v="F-1"/>
    <s v="Male"/>
    <s v="Computer Science-MS"/>
    <s v="No"/>
    <s v="MOGO"/>
    <x v="1"/>
    <m/>
    <m/>
    <s v="India"/>
    <s v="India"/>
    <s v="Pre Arrival"/>
  </r>
  <r>
    <s v="Kiptoo, Daniel"/>
    <s v="M03000340"/>
    <s v="N0000000340"/>
    <s v="Initial"/>
    <s v="F-1"/>
    <s v="Male"/>
    <s v="Business Admin-MBA"/>
    <s v="Yes"/>
    <s v="No"/>
    <x v="0"/>
    <s v="Yes"/>
    <m/>
    <s v="Kenya"/>
    <s v="Kenya"/>
    <s v="Pre Arrival"/>
  </r>
  <r>
    <s v="Anil, Patel"/>
    <s v="M03000091"/>
    <s v="N0000000091"/>
    <s v="Initial"/>
    <s v="F-1"/>
    <s v="Male"/>
    <s v="Project Management-MS"/>
    <s v="No"/>
    <s v="MOGO"/>
    <x v="1"/>
    <m/>
    <m/>
    <s v="India"/>
    <s v="India"/>
    <s v="Pre Arrival"/>
  </r>
  <r>
    <s v="Achieng, Grace"/>
    <s v="M03000192"/>
    <s v="N0000000192"/>
    <s v="Initial"/>
    <s v="F-1"/>
    <s v="Female"/>
    <s v="Business Admin-MBA"/>
    <s v="No"/>
    <s v="MOGO"/>
    <x v="1"/>
    <m/>
    <m/>
    <s v="Kenya"/>
    <s v="Kenya"/>
    <s v="Pre Arrival"/>
  </r>
  <r>
    <s v="Rahman, Fatima"/>
    <s v="M03000131"/>
    <s v="N0000000131"/>
    <s v="Initial"/>
    <s v="F-1"/>
    <s v="Female"/>
    <s v="Agriculture-MS"/>
    <s v="No"/>
    <s v="No"/>
    <x v="0"/>
    <m/>
    <m/>
    <s v="Bangladesh"/>
    <s v="Bangladesh"/>
    <s v="Pre Arrival"/>
  </r>
  <r>
    <s v="Suresh, Gupta"/>
    <s v="M03000326"/>
    <s v="N0000000326"/>
    <s v="Initial"/>
    <s v="F-1"/>
    <s v="Male"/>
    <s v="Project Management-MS"/>
    <s v="No"/>
    <s v="No"/>
    <x v="1"/>
    <m/>
    <m/>
    <s v="India"/>
    <s v="India"/>
    <s v="Pre Arrival"/>
  </r>
  <r>
    <s v="Mwangi, Joseph"/>
    <s v="M03000180"/>
    <s v="N0000000180"/>
    <s v="Initial"/>
    <s v="F-1"/>
    <s v="Male"/>
    <s v="Computer Science-MS"/>
    <s v="No"/>
    <s v="No"/>
    <x v="0"/>
    <m/>
    <m/>
    <s v="Kenya"/>
    <s v="Kenya"/>
    <s v="Pre Arrival"/>
  </r>
  <r>
    <s v="Esi, Owusu"/>
    <s v="M03000017"/>
    <s v="N0000000017"/>
    <s v="Initial"/>
    <s v="F-1"/>
    <s v="Female"/>
    <s v="Educational Technology-MSED"/>
    <s v="No"/>
    <s v="No"/>
    <x v="1"/>
    <m/>
    <m/>
    <s v="Ghana"/>
    <s v="Ghana"/>
    <s v="Pre Arrival"/>
  </r>
  <r>
    <s v="Anil, Patel"/>
    <s v="M03000190"/>
    <s v="N0000000190"/>
    <s v="Initial"/>
    <s v="F-1"/>
    <s v="Male"/>
    <s v="Public Health-MPH"/>
    <s v="No"/>
    <s v="No"/>
    <x v="0"/>
    <m/>
    <m/>
    <s v="India"/>
    <s v="India"/>
    <s v="Pre Arrival"/>
  </r>
  <r>
    <s v="Mwangi, Joseph"/>
    <s v="M03000239"/>
    <s v="N0000000239"/>
    <s v="Initial"/>
    <s v="F-1"/>
    <s v="Male"/>
    <s v="Business Admin-MBA"/>
    <s v="No"/>
    <s v="No"/>
    <x v="1"/>
    <m/>
    <m/>
    <s v="Kenya"/>
    <s v="Kenya"/>
    <s v="Pre Arrival"/>
  </r>
  <r>
    <s v="Tunde, Balogun"/>
    <s v="M03000066"/>
    <s v="N0000000066"/>
    <s v="Initial"/>
    <s v="F-1"/>
    <s v="Male"/>
    <s v="Business Admin-MBA"/>
    <s v="No"/>
    <s v="MOGO"/>
    <x v="0"/>
    <m/>
    <s v="Deferred SP26"/>
    <s v="Nigeria"/>
    <s v="Nigeria"/>
    <s v="Pre Arrival"/>
  </r>
  <r>
    <s v="Akua, Addo"/>
    <s v="M03000037"/>
    <s v="N0000000037"/>
    <s v="Initial"/>
    <s v="F-1"/>
    <s v="Female"/>
    <s v="Business Admin-MBA"/>
    <s v="No"/>
    <s v="MOGO"/>
    <x v="0"/>
    <m/>
    <m/>
    <s v="Ghana"/>
    <s v="Ghana"/>
    <s v="Pre Arrival"/>
  </r>
  <r>
    <s v="Chioma, Nwosu"/>
    <s v="M03000042"/>
    <s v="N0000000042"/>
    <s v="Initial"/>
    <s v="F-1"/>
    <s v="Female"/>
    <s v="Computer Science-MS"/>
    <s v="Yes"/>
    <s v="No"/>
    <x v="1"/>
    <m/>
    <m/>
    <s v="Nigeria"/>
    <s v="Nigeria"/>
    <s v="Pre Arrival"/>
  </r>
  <r>
    <s v="Mwangi, Grace"/>
    <s v="M03000128"/>
    <s v="N0000000128"/>
    <s v="Initial"/>
    <s v="F-1"/>
    <s v="Female"/>
    <s v="International Affairs-MIA"/>
    <s v="No"/>
    <s v="No"/>
    <x v="0"/>
    <m/>
    <m/>
    <s v="Tanzania"/>
    <s v="Tanzania"/>
    <s v="Pre Arrival"/>
  </r>
  <r>
    <s v="Liu, Yan"/>
    <s v="M03000364"/>
    <s v="N0000000364"/>
    <s v="Initial"/>
    <s v="F-1"/>
    <s v="Female"/>
    <s v="Accountancy-MACC"/>
    <s v="No"/>
    <s v="No"/>
    <x v="0"/>
    <s v="Yes"/>
    <m/>
    <s v="China"/>
    <s v="China"/>
    <s v="Pre Arrival"/>
  </r>
  <r>
    <s v="Neha, Gupta"/>
    <s v="M03000197"/>
    <s v="N0000000197"/>
    <s v="Initial"/>
    <s v="F-1"/>
    <s v="Female"/>
    <s v="Project Management-MS"/>
    <s v="No"/>
    <s v="MOGO/REFUND"/>
    <x v="1"/>
    <m/>
    <m/>
    <s v="India"/>
    <s v="India"/>
    <s v="Pre Arrival"/>
  </r>
  <r>
    <s v="Njeri, Ann"/>
    <s v="M03000328"/>
    <s v="N0000000328"/>
    <s v="Initial"/>
    <s v="F-1"/>
    <s v="Female"/>
    <s v="Project Management-MS"/>
    <s v="No"/>
    <s v="MOGO"/>
    <x v="0"/>
    <m/>
    <m/>
    <s v="Kenya"/>
    <s v="Kenya"/>
    <s v="Pre Arrival"/>
  </r>
  <r>
    <s v="Divya, Singh"/>
    <s v="M03000082"/>
    <s v="N0000000082"/>
    <s v="Initial"/>
    <s v="F-1"/>
    <s v="Female"/>
    <s v="Business Admin-MBA"/>
    <s v="No"/>
    <s v="No"/>
    <x v="1"/>
    <m/>
    <m/>
    <s v="India"/>
    <s v="India"/>
    <s v="Pre Arrival"/>
  </r>
  <r>
    <s v="Ahmed, Saad"/>
    <s v="M03000327"/>
    <s v="N0000000327"/>
    <s v="Initial"/>
    <s v="F-1"/>
    <s v="Male"/>
    <s v="Business Admin-MBA"/>
    <s v="No"/>
    <s v="MOGO"/>
    <x v="0"/>
    <s v="Yes"/>
    <s v="Enrolled"/>
    <s v="Pakistan"/>
    <s v="Pakistan"/>
    <s v="Pre Arrival"/>
  </r>
  <r>
    <s v="Wanjiru, Mary"/>
    <s v="M03000057"/>
    <s v="N0000000057"/>
    <s v="Initial"/>
    <s v="F-1"/>
    <s v="Female"/>
    <s v="Music, Master of-MM"/>
    <s v="No"/>
    <s v="No"/>
    <x v="1"/>
    <m/>
    <m/>
    <s v="Kenya"/>
    <s v="Kenya"/>
    <s v="Pre Arrival"/>
  </r>
  <r>
    <s v="Olu, Adewale"/>
    <s v="M03000041"/>
    <s v="N0000000041"/>
    <s v="Initial"/>
    <s v="F-1"/>
    <s v="Male"/>
    <s v="Accountancy-MACC"/>
    <s v="No"/>
    <s v="No"/>
    <x v="0"/>
    <m/>
    <m/>
    <s v="Nigeria"/>
    <s v="Nigeria"/>
    <s v="Pre Arrival"/>
  </r>
  <r>
    <s v="Rahman, Hasan"/>
    <s v="M03000076"/>
    <s v="N0000000076"/>
    <s v="Initial"/>
    <s v="F-1"/>
    <s v="Male"/>
    <s v="Project Management-MS"/>
    <s v="No"/>
    <s v="No"/>
    <x v="0"/>
    <m/>
    <m/>
    <s v="Bangladesh"/>
    <s v="Bangladesh"/>
    <s v="Pre Arrival"/>
  </r>
  <r>
    <s v="Afia, Mensima"/>
    <s v="M03000051"/>
    <s v="N0000000051"/>
    <s v="Initial"/>
    <s v="F-1"/>
    <s v="Female"/>
    <s v="Special Ed/Autism Spectrm-MSED"/>
    <s v="No"/>
    <s v="No"/>
    <x v="1"/>
    <m/>
    <m/>
    <s v="Ghana"/>
    <s v="Ghana"/>
    <s v="Pre Arrival"/>
  </r>
  <r>
    <s v="Ahmadi, Ladan"/>
    <s v="M03000120"/>
    <s v="N0000000120"/>
    <s v="Initial"/>
    <s v="F-1"/>
    <s v="Female"/>
    <s v="Business Admin-MBA"/>
    <s v="Yes"/>
    <s v="No"/>
    <x v="0"/>
    <s v="Transfer"/>
    <m/>
    <s v="Iran"/>
    <s v="Iran"/>
    <s v="Pre Arrival"/>
  </r>
  <r>
    <s v="Amaka, Obi"/>
    <s v="M03000010"/>
    <s v="N0000000010"/>
    <s v="Initial"/>
    <s v="F-1"/>
    <s v="Female"/>
    <s v="Public Health-MPH"/>
    <s v="No"/>
    <s v="No"/>
    <x v="1"/>
    <m/>
    <m/>
    <s v="Nigeria"/>
    <s v="Nigeria"/>
    <s v="Pre Arrival"/>
  </r>
  <r>
    <s v="Chinedu, Okafor"/>
    <s v="M03000304"/>
    <s v="N0000000304"/>
    <s v="Initial"/>
    <s v="F-1"/>
    <s v="Male"/>
    <s v="Computer Science-MS"/>
    <s v="No"/>
    <s v="No"/>
    <x v="1"/>
    <m/>
    <m/>
    <s v="Nigeria"/>
    <s v="Nigeria"/>
    <s v="Pre Arrival"/>
  </r>
  <r>
    <s v="Ifeanyi, Eze"/>
    <s v="M03000251"/>
    <s v="N0000000251"/>
    <s v="Initial"/>
    <s v="F-1"/>
    <s v="Male"/>
    <s v="Computer Science-MS"/>
    <s v="Yes"/>
    <s v="No"/>
    <x v="1"/>
    <m/>
    <m/>
    <s v="Nigeria"/>
    <s v="Nigeria"/>
    <s v="Pre Arrival"/>
  </r>
  <r>
    <s v="Ngozi, Okeke"/>
    <s v="M03000173"/>
    <s v="N0000000173"/>
    <s v="Initial"/>
    <s v="F-1"/>
    <s v="Female"/>
    <s v="Public Health-MPH"/>
    <s v="No"/>
    <s v="MOGO"/>
    <x v="0"/>
    <m/>
    <m/>
    <s v="Nigeria"/>
    <s v="Nigeria"/>
    <s v="Pre Arrival"/>
  </r>
  <r>
    <s v="Olu, Adewale"/>
    <s v="M03000035"/>
    <s v="N0000000035"/>
    <s v="Initial"/>
    <s v="F-1"/>
    <s v="Male"/>
    <s v="Dramatic Writing-MFA"/>
    <s v="No"/>
    <s v="No"/>
    <x v="1"/>
    <m/>
    <m/>
    <s v="Nigeria"/>
    <s v="Nigeria"/>
    <s v="Pre Arrival"/>
  </r>
  <r>
    <s v="Raza, Fahad"/>
    <s v="M03000142"/>
    <s v="N0000000142"/>
    <s v="Initial"/>
    <s v="F-1"/>
    <s v="Male"/>
    <s v="Project Management-MS"/>
    <s v="No"/>
    <s v="No"/>
    <x v="0"/>
    <m/>
    <m/>
    <s v="Pakistan"/>
    <s v="Pakistan"/>
    <s v="Pre Arrival"/>
  </r>
  <r>
    <s v="Atieno, Sharon"/>
    <s v="M03000154"/>
    <s v="N0000000154"/>
    <s v="Initial"/>
    <s v="F-1"/>
    <s v="Female"/>
    <s v="Gry and Glg/Geospatial-MS"/>
    <s v="No"/>
    <s v="No"/>
    <x v="0"/>
    <m/>
    <m/>
    <s v="Kenya"/>
    <s v="Kenya"/>
    <s v="Pre Arrival"/>
  </r>
  <r>
    <s v="Ravi, Singh"/>
    <s v="M03000132"/>
    <s v="N0000000132"/>
    <s v="Initial"/>
    <s v="F-1"/>
    <s v="Male"/>
    <s v="Chemistry-MS"/>
    <s v="No"/>
    <s v="No"/>
    <x v="1"/>
    <m/>
    <m/>
    <s v="India"/>
    <s v="India"/>
    <s v="Pre Arrival"/>
  </r>
  <r>
    <s v="Amaka, Obi"/>
    <s v="M03000157"/>
    <s v="N0000000157"/>
    <s v="Initial"/>
    <s v="F-1"/>
    <s v="Female"/>
    <s v="Agriculture-MS"/>
    <s v="No"/>
    <s v="No"/>
    <x v="1"/>
    <m/>
    <m/>
    <s v="Nigeria"/>
    <s v="Nigeria"/>
    <s v="Pre Arrival"/>
  </r>
  <r>
    <s v="Ali, Nayeem"/>
    <s v="M03000314"/>
    <s v="N0000000314"/>
    <s v="Initial"/>
    <s v="F-1"/>
    <s v="Male"/>
    <s v="Computer Science-MS"/>
    <s v="No"/>
    <s v="MOGO"/>
    <x v="0"/>
    <m/>
    <m/>
    <s v="Bangladesh"/>
    <s v="Bangladesh"/>
    <s v="Pre Arrival"/>
  </r>
  <r>
    <s v="Pooja, Rani"/>
    <s v="M03000011"/>
    <s v="N0000000011"/>
    <s v="Initial"/>
    <s v="F-1"/>
    <s v="Female"/>
    <s v="Project Management-MS"/>
    <s v="No"/>
    <s v="MOGO"/>
    <x v="1"/>
    <m/>
    <m/>
    <s v="India"/>
    <s v="India"/>
    <s v="Pre Arrival"/>
  </r>
  <r>
    <s v="Carvalho, Bruno"/>
    <s v="M03000357"/>
    <s v="N0000000357"/>
    <s v="Initial"/>
    <s v="F-1"/>
    <s v="Male"/>
    <s v="Public Health-MPH"/>
    <s v="No"/>
    <s v="No"/>
    <x v="0"/>
    <s v="Yes"/>
    <m/>
    <s v="Portugal"/>
    <s v="Portugal"/>
    <s v="Pre Arrival"/>
  </r>
  <r>
    <s v="Olu, Adewale"/>
    <s v="M03000254"/>
    <s v="N0000000254"/>
    <s v="Initial"/>
    <s v="F-1"/>
    <s v="Male"/>
    <s v="Information Technology-MS"/>
    <s v="No"/>
    <s v="No"/>
    <x v="1"/>
    <m/>
    <m/>
    <s v="Nigeria"/>
    <s v="Nigeria"/>
    <s v="Pre Arrival"/>
  </r>
  <r>
    <s v="Thapa, Richa"/>
    <s v="M03000126"/>
    <s v="N0000000126"/>
    <s v="Initial"/>
    <s v="F-1"/>
    <s v="Female"/>
    <s v="Health Promo &amp; Wellness Mgt-MS"/>
    <s v="No"/>
    <s v="MOGO"/>
    <x v="0"/>
    <m/>
    <m/>
    <s v="Nepal"/>
    <s v="Nepal"/>
    <s v="Pre Arrival"/>
  </r>
  <r>
    <s v="Neha, Gupta"/>
    <s v="M03000283"/>
    <s v="N0000000283"/>
    <s v="Initial"/>
    <s v="F-1"/>
    <s v="Female"/>
    <s v="Computer Science-MS"/>
    <s v="No"/>
    <s v="MOGO"/>
    <x v="0"/>
    <s v="Yes"/>
    <m/>
    <s v="India"/>
    <s v="India"/>
    <s v="Pre Arrival"/>
  </r>
  <r>
    <s v="Afia, Mensima"/>
    <s v="M03000095"/>
    <s v="N0000000095"/>
    <s v="Initial"/>
    <s v="F-1"/>
    <s v="Female"/>
    <s v="Computer Science-MS"/>
    <s v="Yes"/>
    <s v="No"/>
    <x v="1"/>
    <m/>
    <m/>
    <s v="Ghana"/>
    <s v="Ghana"/>
    <s v="Pre Arrival"/>
  </r>
  <r>
    <s v="Islam, Tania"/>
    <s v="M03000054"/>
    <s v="N0000000054"/>
    <s v="Initial"/>
    <s v="F-1"/>
    <s v="Female"/>
    <s v="Business Admin-MBA"/>
    <s v="Yes"/>
    <s v="No"/>
    <x v="1"/>
    <m/>
    <m/>
    <s v="Bangladesh"/>
    <s v="Bangladesh"/>
    <s v="Pre Arrival"/>
  </r>
  <r>
    <s v="Suresh, Gupta"/>
    <s v="M03000343"/>
    <s v="N0000000343"/>
    <s v="Initial"/>
    <s v="F-1"/>
    <s v="Male"/>
    <s v="Project Management-MS"/>
    <s v="No"/>
    <s v="No"/>
    <x v="0"/>
    <s v="Yes"/>
    <s v="Enrolled"/>
    <s v="India"/>
    <s v="India"/>
    <s v="Pre Arrival"/>
  </r>
  <r>
    <s v="Chebet, Mercy"/>
    <s v="M03000163"/>
    <s v="N0000000163"/>
    <s v="Initial"/>
    <s v="F-1"/>
    <s v="Female"/>
    <s v="Business Admin-MBA"/>
    <s v="No"/>
    <s v="No"/>
    <x v="0"/>
    <s v="Yes"/>
    <m/>
    <s v="Kenya"/>
    <s v="Kenya"/>
    <s v="Pre Arrival"/>
  </r>
  <r>
    <s v="Tunde, Balogun"/>
    <s v="M03000303"/>
    <s v="N0000000303"/>
    <s v="Initial"/>
    <s v="F-1"/>
    <s v="Male"/>
    <s v="Visual Studies-MFA"/>
    <s v="No"/>
    <s v="No"/>
    <x v="1"/>
    <m/>
    <m/>
    <s v="Nigeria"/>
    <s v="Nigeria"/>
    <s v="Pre Arrival"/>
  </r>
  <r>
    <s v="Ama, Nyarko"/>
    <s v="M03000228"/>
    <s v="N0000000228"/>
    <s v="Initial"/>
    <s v="F-1"/>
    <s v="Female"/>
    <s v="Chemistry-MS"/>
    <s v="No"/>
    <s v="No"/>
    <x v="1"/>
    <m/>
    <m/>
    <s v="Ghana"/>
    <s v="Ghana"/>
    <s v="Pre Arrival"/>
  </r>
  <r>
    <s v="Hossain, Imran"/>
    <s v="M03000210"/>
    <s v="N0000000210"/>
    <s v="Initial"/>
    <s v="F-1"/>
    <s v="Male"/>
    <s v="Business Admin-MBA"/>
    <s v="No"/>
    <s v="No"/>
    <x v="1"/>
    <m/>
    <m/>
    <s v="Bangladesh"/>
    <s v="Bangladesh"/>
    <s v="Pre Arrival"/>
  </r>
  <r>
    <s v="Yetunde, Adeyemi"/>
    <s v="M03000027"/>
    <s v="N0000000027"/>
    <s v="Initial"/>
    <s v="F-1"/>
    <s v="Female"/>
    <s v="Business Admin-MBA"/>
    <s v="Yes"/>
    <s v="No"/>
    <x v="1"/>
    <m/>
    <m/>
    <s v="Nigeria"/>
    <s v="Nigeria"/>
    <s v="Pre Arrival"/>
  </r>
  <r>
    <s v="Ali, Nimra"/>
    <s v="M03000146"/>
    <s v="N0000000146"/>
    <s v="Initial"/>
    <s v="F-1"/>
    <s v="Female"/>
    <s v="Business Admin-MBA"/>
    <s v="No"/>
    <s v="No"/>
    <x v="0"/>
    <s v="Yes"/>
    <m/>
    <s v="Pakistan"/>
    <s v="Pakistan"/>
    <s v="Pre Arrival"/>
  </r>
  <r>
    <s v="Olu, Adewale"/>
    <s v="M03000019"/>
    <s v="N0000000019"/>
    <s v="Initial"/>
    <s v="F-1"/>
    <s v="Male"/>
    <s v="Business Admin-MBA"/>
    <s v="No"/>
    <s v="No"/>
    <x v="1"/>
    <m/>
    <m/>
    <s v="Nigeria"/>
    <s v="Nigeria"/>
    <s v="Pre Arrival"/>
  </r>
  <r>
    <s v="Olu, Adewale"/>
    <s v="M03000258"/>
    <s v="N0000000258"/>
    <s v="Initial"/>
    <s v="F-1"/>
    <s v="Male"/>
    <s v="Educational Technology-MSED"/>
    <s v="No"/>
    <s v="No"/>
    <x v="1"/>
    <m/>
    <m/>
    <s v="Nigeria"/>
    <s v="Nigeria"/>
    <s v="Pre Arrival"/>
  </r>
  <r>
    <s v="Gan, Nomin"/>
    <s v="M03000106"/>
    <s v="N0000000106"/>
    <s v="Initial"/>
    <s v="F-1"/>
    <s v="Female"/>
    <s v="Project Management-MS"/>
    <s v="No"/>
    <s v="IPFW"/>
    <x v="0"/>
    <s v="Yes"/>
    <m/>
    <s v="Mongolia"/>
    <s v="Mongolia"/>
    <s v="Pre Arrival"/>
  </r>
  <r>
    <s v="Ravi, Singh"/>
    <s v="M03000341"/>
    <s v="N0000000341"/>
    <s v="Initial"/>
    <s v="F-1"/>
    <s v="Male"/>
    <s v="Public Health-MPH"/>
    <s v="No"/>
    <s v="No"/>
    <x v="1"/>
    <m/>
    <m/>
    <s v="India"/>
    <s v="India"/>
    <s v="Pre Arrival"/>
  </r>
  <r>
    <s v="Kiptoo, Daniel"/>
    <s v="M03000276"/>
    <s v="N0000000276"/>
    <s v="Initial"/>
    <s v="F-1"/>
    <s v="Male"/>
    <s v="Public Health-MPH"/>
    <s v="Yes"/>
    <s v="No"/>
    <x v="1"/>
    <m/>
    <m/>
    <s v="Kenya"/>
    <s v="Kenya"/>
    <s v="Pre Arrival"/>
  </r>
  <r>
    <s v="Ravi, Singh"/>
    <s v="M03000169"/>
    <s v="N0000000169"/>
    <s v="Initial"/>
    <s v="F-1"/>
    <s v="Male"/>
    <s v="Project Management-MS"/>
    <s v="No"/>
    <s v="No"/>
    <x v="1"/>
    <m/>
    <m/>
    <s v="India"/>
    <s v="India"/>
    <s v="Pre Arrival"/>
  </r>
  <r>
    <s v="Lewandowska, Marta"/>
    <s v="M03000363"/>
    <s v="N0000000363"/>
    <s v="Initial"/>
    <s v="F-1"/>
    <s v="Female"/>
    <s v="Communication-MA"/>
    <s v="No"/>
    <s v="No"/>
    <x v="0"/>
    <s v="Yes"/>
    <m/>
    <s v="Poland"/>
    <s v="Poland"/>
    <s v="Pre Arrival"/>
  </r>
  <r>
    <s v="Kofi, Boateng"/>
    <s v="M03000262"/>
    <s v="N0000000262"/>
    <s v="Initial"/>
    <s v="F-1"/>
    <s v="Male"/>
    <s v="International Affairs-MIA"/>
    <s v="Yes"/>
    <s v="No"/>
    <x v="0"/>
    <s v="Yes"/>
    <m/>
    <s v="Ghana"/>
    <s v="Ghana"/>
    <s v="Pre Arrival"/>
  </r>
  <r>
    <s v="Ana, Huaman"/>
    <s v="M03000280"/>
    <s v="N0000000280"/>
    <s v="Initial"/>
    <s v="F-1"/>
    <s v="Female"/>
    <s v="Information Technology-MS"/>
    <s v="No"/>
    <s v="MOGO"/>
    <x v="1"/>
    <m/>
    <m/>
    <s v="Peru"/>
    <s v="Peru"/>
    <s v="Pre Arrival"/>
  </r>
  <r>
    <s v="Yetunde, Adeyemi"/>
    <s v="M03000105"/>
    <s v="N0000000105"/>
    <s v="Initial"/>
    <s v="F-1"/>
    <s v="Female"/>
    <s v="Computer Science-MS"/>
    <s v="No"/>
    <s v="No"/>
    <x v="1"/>
    <m/>
    <m/>
    <s v="Nigeria"/>
    <s v="Nigeria"/>
    <s v="Pre Arrival"/>
  </r>
  <r>
    <s v="Rahimi, Arman"/>
    <s v="M03000046"/>
    <s v="N0000000046"/>
    <s v="Initial"/>
    <s v="F-1"/>
    <s v="Male"/>
    <s v="Business Admin-MBA"/>
    <s v="No"/>
    <s v="No"/>
    <x v="1"/>
    <m/>
    <m/>
    <s v="Iran"/>
    <s v="Iran"/>
    <s v="Pre Arrival"/>
  </r>
  <r>
    <s v="Mariana, Pereira"/>
    <s v="M03000001"/>
    <s v="N0000000001"/>
    <s v="Initial"/>
    <s v="F-1"/>
    <s v="Female"/>
    <s v="Computer Science-MS"/>
    <s v="Yes"/>
    <s v="No"/>
    <x v="0"/>
    <s v="Yes"/>
    <m/>
    <s v="Brazil"/>
    <s v="Brazil"/>
    <s v="Pre Arrival"/>
  </r>
  <r>
    <s v="Amaka, Obi"/>
    <s v="M03000099"/>
    <s v="N0000000099"/>
    <s v="Initial"/>
    <s v="F-1"/>
    <s v="Female"/>
    <s v="Kinesiology-MS"/>
    <s v="No"/>
    <s v="No"/>
    <x v="1"/>
    <m/>
    <m/>
    <s v="Nigeria"/>
    <s v="Nigeria"/>
    <s v="Pre Arrival"/>
  </r>
  <r>
    <s v="Ahmed, Karim"/>
    <s v="M03000147"/>
    <s v="N0000000147"/>
    <s v="Initial"/>
    <s v="F-1"/>
    <s v="Male"/>
    <s v="Business Admin-MBA"/>
    <s v="No"/>
    <s v="No"/>
    <x v="1"/>
    <m/>
    <m/>
    <s v="Bangladesh"/>
    <s v="Bangladesh"/>
    <s v="Pre Arrival"/>
  </r>
  <r>
    <s v="Ali, Nimra"/>
    <s v="M03000070"/>
    <s v="N0000000070"/>
    <s v="Initial"/>
    <s v="F-1"/>
    <s v="Female"/>
    <s v="Visual Studies-MFA"/>
    <s v="Yes"/>
    <s v="No"/>
    <x v="1"/>
    <m/>
    <m/>
    <s v="Pakistan"/>
    <s v="Pakistan"/>
    <s v="Pre Arrival"/>
  </r>
  <r>
    <s v="Delić, Selma"/>
    <s v="M03000160"/>
    <s v="N0000000160"/>
    <s v="Initial"/>
    <s v="F-1"/>
    <s v="Female"/>
    <s v="Business Admin-MBA"/>
    <s v="Yes"/>
    <s v="No"/>
    <x v="1"/>
    <s v="Yes"/>
    <m/>
    <s v="Bosnia and Herzegovina"/>
    <s v="Bosnia and Herzegovina"/>
    <m/>
  </r>
  <r>
    <s v="Ali, Nayeem"/>
    <s v="M03000319"/>
    <s v="N0000000319"/>
    <s v="Initial"/>
    <s v="F-1"/>
    <s v="Male"/>
    <s v="Computer Science-MS"/>
    <s v="No"/>
    <s v="No"/>
    <x v="1"/>
    <m/>
    <m/>
    <s v="Bangladesh"/>
    <s v="Bangladesh"/>
    <s v="Pre Arrival"/>
  </r>
  <r>
    <s v="Tunde, Balogun"/>
    <s v="M03000112"/>
    <s v="N0000000112"/>
    <s v="Initial"/>
    <s v="F-1"/>
    <s v="Male"/>
    <s v="Business Admin-MBA"/>
    <s v="No"/>
    <s v="No"/>
    <x v="1"/>
    <m/>
    <m/>
    <s v="Nigeria"/>
    <s v="Nigeria"/>
    <s v="Pre Arrival"/>
  </r>
  <r>
    <s v="Islam, Tania"/>
    <s v="M03000029"/>
    <s v="N0000000029"/>
    <s v="Initial"/>
    <s v="F-1"/>
    <s v="Female"/>
    <s v="Professional Studies-MPS"/>
    <s v="No"/>
    <s v="No"/>
    <x v="1"/>
    <m/>
    <m/>
    <s v="Bangladesh"/>
    <s v="Bangladesh"/>
    <s v="Pre Arrival"/>
  </r>
  <r>
    <s v="Amit, Sharma"/>
    <s v="M03000321"/>
    <s v="N0000000321"/>
    <s v="Initial"/>
    <s v="F-1"/>
    <s v="Male"/>
    <s v="Educational Technology-MSED"/>
    <s v="No"/>
    <s v="No"/>
    <x v="1"/>
    <m/>
    <m/>
    <s v="India"/>
    <s v="India"/>
    <s v="Pre Arrival"/>
  </r>
  <r>
    <s v="Funke, Ojo"/>
    <s v="M03000264"/>
    <s v="N0000000264"/>
    <s v="Initial"/>
    <s v="F-1"/>
    <s v="Female"/>
    <s v="Gry and Glg/Geospatial-MS"/>
    <s v="No"/>
    <s v="No"/>
    <x v="1"/>
    <m/>
    <m/>
    <s v="Nigeria"/>
    <s v="Nigeria"/>
    <s v="Pre Arrival"/>
  </r>
  <r>
    <s v="Kwabena, Osei"/>
    <s v="M03000048"/>
    <s v="N0000000048"/>
    <s v="Initial"/>
    <s v="F-1"/>
    <s v="Male"/>
    <s v="Business Admin-MBA"/>
    <s v="Yes"/>
    <s v="No"/>
    <x v="0"/>
    <s v="Yes"/>
    <m/>
    <s v="Ghana"/>
    <s v="Ghana"/>
    <s v="Pre Arrival"/>
  </r>
  <r>
    <s v="Rahman, Hasan"/>
    <s v="M03000293"/>
    <s v="N0000000293"/>
    <s v="Initial"/>
    <s v="F-1"/>
    <s v="Male"/>
    <s v="Computer Science-MS"/>
    <s v="No"/>
    <s v="MOGO"/>
    <x v="0"/>
    <m/>
    <m/>
    <s v="Bangladesh"/>
    <s v="Bangladesh"/>
    <s v="Pre Arrival"/>
  </r>
  <r>
    <s v="Otieno, Brian"/>
    <s v="M03000342"/>
    <s v="N0000000342"/>
    <s v="Initial"/>
    <s v="F-1"/>
    <s v="Male"/>
    <s v="Chemistry-MS"/>
    <s v="No"/>
    <s v="No"/>
    <x v="1"/>
    <m/>
    <m/>
    <s v="Kenya"/>
    <s v="Kenya"/>
    <s v="Pre Arrival"/>
  </r>
  <r>
    <s v="Adjovi, Jules"/>
    <s v="M03000118"/>
    <s v="N0000000118"/>
    <s v="Initial"/>
    <s v="F-1"/>
    <s v="Male"/>
    <s v="Project Management-MS"/>
    <s v="Yes"/>
    <s v="No"/>
    <x v="0"/>
    <s v="Yes"/>
    <m/>
    <s v="Benin"/>
    <s v="Benin"/>
    <s v="Pre Arrival"/>
  </r>
  <r>
    <s v="Tunde, Balogun"/>
    <s v="M03000062"/>
    <s v="N0000000062"/>
    <s v="Initial"/>
    <s v="F-1"/>
    <s v="Male"/>
    <s v="Computer Science-MS"/>
    <s v="No"/>
    <s v="No"/>
    <x v="1"/>
    <m/>
    <m/>
    <s v="Nigeria"/>
    <s v="Nigeria"/>
    <s v="Pre Arrival"/>
  </r>
  <r>
    <s v="Ravi, Singh"/>
    <s v="M03000125"/>
    <s v="N0000000125"/>
    <s v="Initial"/>
    <s v="F-1"/>
    <s v="Male"/>
    <s v="Computer Science-MS"/>
    <s v="No"/>
    <s v="MOGO/REFUND"/>
    <x v="1"/>
    <m/>
    <m/>
    <s v="India"/>
    <s v="India"/>
    <s v="Pre Arrival"/>
  </r>
  <r>
    <s v="Adhikari, Nisha"/>
    <s v="M03000015"/>
    <s v="N0000000015"/>
    <s v="Initial"/>
    <s v="F-1"/>
    <s v="Female"/>
    <s v="Computer Science-MS"/>
    <s v="No"/>
    <s v="No"/>
    <x v="1"/>
    <m/>
    <m/>
    <s v="Nepal"/>
    <s v="Nepal"/>
    <s v="Pre Arrival"/>
  </r>
  <r>
    <s v="Atieno, Sharon"/>
    <s v="M03000252"/>
    <s v="N0000000252"/>
    <s v="Initial"/>
    <s v="F-1"/>
    <s v="Female"/>
    <s v="Project Management-MS"/>
    <s v="No"/>
    <s v="MOGO"/>
    <x v="1"/>
    <m/>
    <m/>
    <s v="Kenya"/>
    <s v="Kenya"/>
    <s v="Pre Arrival"/>
  </r>
  <r>
    <s v="Raj, Kumar"/>
    <s v="M03000310"/>
    <s v="N0000000310"/>
    <s v="Initial"/>
    <s v="F-1"/>
    <s v="Male"/>
    <s v="Computer Science-MS"/>
    <s v="No"/>
    <s v="No"/>
    <x v="0"/>
    <s v="Yes"/>
    <s v="Enrolled"/>
    <s v="India"/>
    <s v="India"/>
    <s v="Pre Arrival"/>
  </r>
  <r>
    <s v="Pooja, Rani"/>
    <s v="M03000151"/>
    <s v="N0000000151"/>
    <s v="Initial"/>
    <s v="F-1"/>
    <s v="Female"/>
    <s v="Accountancy-MACC"/>
    <s v="No"/>
    <s v="No"/>
    <x v="1"/>
    <m/>
    <m/>
    <s v="India"/>
    <s v="India"/>
    <s v="Pre Arrival"/>
  </r>
  <r>
    <s v="Rahman, Fatima"/>
    <s v="M03000307"/>
    <s v="N0000000307"/>
    <s v="Initial"/>
    <s v="F-1"/>
    <s v="Female"/>
    <s v="International Affairs-MIA"/>
    <s v="No"/>
    <s v="No"/>
    <x v="1"/>
    <m/>
    <m/>
    <s v="Bangladesh"/>
    <s v="Bangladesh"/>
    <s v="Pre Arrival"/>
  </r>
  <r>
    <s v="Rahimi, Arman"/>
    <s v="M03000275"/>
    <s v="N0000000275"/>
    <s v="Initial"/>
    <s v="F-1"/>
    <s v="Male"/>
    <s v="Computer Science-MS"/>
    <s v="No"/>
    <s v="No"/>
    <x v="1"/>
    <m/>
    <m/>
    <s v="Iran"/>
    <s v="Iran"/>
    <s v="Pre Arrival"/>
  </r>
  <r>
    <s v="Kwabena, Osei"/>
    <s v="M03000115"/>
    <s v="N0000000115"/>
    <s v="Initial"/>
    <s v="F-1"/>
    <s v="Male"/>
    <s v="Project Management-MS"/>
    <s v="No"/>
    <s v="No"/>
    <x v="1"/>
    <m/>
    <m/>
    <s v="Ghana"/>
    <s v="Ghana"/>
    <s v="Pre Arrival"/>
  </r>
  <r>
    <s v="Nyerere, John"/>
    <s v="M03000339"/>
    <s v="N0000000339"/>
    <s v="Initial"/>
    <s v="F-1"/>
    <s v="Male"/>
    <s v="Information Technology-MS"/>
    <s v="No"/>
    <s v="No"/>
    <x v="1"/>
    <m/>
    <m/>
    <s v="Tanzania"/>
    <s v="Tanzania"/>
    <s v="Pre Arrival"/>
  </r>
  <r>
    <s v="Ahmadi, Sina"/>
    <s v="M03000092"/>
    <s v="N0000000092"/>
    <s v="Initial"/>
    <s v="F-1"/>
    <s v="Male"/>
    <s v="Computer Science-MS"/>
    <s v="No"/>
    <s v="No"/>
    <x v="1"/>
    <m/>
    <m/>
    <s v="Iran"/>
    <s v="Iran"/>
    <s v="Pre Arrival"/>
  </r>
  <r>
    <s v="Mohammadi, Ali"/>
    <s v="M03000100"/>
    <s v="N0000000100"/>
    <s v="Initial"/>
    <s v="F-1"/>
    <s v="Male"/>
    <s v="Educational Technology-MSED"/>
    <s v="Yes"/>
    <s v="No"/>
    <x v="0"/>
    <m/>
    <m/>
    <s v="Iran"/>
    <s v="Iran"/>
    <s v="Pre Arrival"/>
  </r>
  <r>
    <s v="Shrestha, Prakash"/>
    <s v="M03000331"/>
    <s v="N0000000331"/>
    <s v="Initial"/>
    <s v="F-1"/>
    <s v="Male"/>
    <s v="Communication-MA"/>
    <s v="Yes"/>
    <s v="No"/>
    <x v="1"/>
    <m/>
    <m/>
    <s v="Nepal"/>
    <s v="Nepal"/>
    <s v="Pre Arrival"/>
  </r>
  <r>
    <s v="Ravi, Singh"/>
    <s v="M03000333"/>
    <s v="N0000000333"/>
    <s v="Initial"/>
    <s v="F-1"/>
    <s v="Male"/>
    <s v="Project Management-MS"/>
    <s v="No"/>
    <s v="No"/>
    <x v="0"/>
    <m/>
    <s v="Emailed for Update"/>
    <s v="India"/>
    <s v="India"/>
    <s v="Pre Arrival"/>
  </r>
  <r>
    <s v="Ali, Nayeem"/>
    <s v="M03000292"/>
    <s v="N0000000292"/>
    <s v="Initial"/>
    <s v="F-1"/>
    <s v="Male"/>
    <s v="Psychology/Industrial Org-MS"/>
    <s v="Yes"/>
    <s v="No"/>
    <x v="0"/>
    <s v="Yes"/>
    <m/>
    <s v="Bangladesh"/>
    <s v="Bangladesh"/>
    <s v="Pre Arrival"/>
  </r>
  <r>
    <s v="Yetunde, Adeyemi"/>
    <s v="M03000199"/>
    <s v="N0000000199"/>
    <s v="Initial"/>
    <s v="F-1"/>
    <s v="Female"/>
    <s v="Chemistry-MS"/>
    <s v="No"/>
    <s v="No"/>
    <x v="1"/>
    <m/>
    <m/>
    <s v="Nigeria"/>
    <s v="Nigeria"/>
    <s v="Pre Arrival"/>
  </r>
  <r>
    <s v="Rahman, Fatima"/>
    <s v="M03000025"/>
    <s v="N0000000025"/>
    <s v="Initial"/>
    <s v="F-1"/>
    <s v="Female"/>
    <s v="Appld Secnd Lang Acquisn-MASLA"/>
    <s v="No"/>
    <s v="No"/>
    <x v="1"/>
    <m/>
    <m/>
    <s v="Bangladesh"/>
    <s v="Bangladesh"/>
    <s v="Pre Arrival"/>
  </r>
  <r>
    <s v="Wanjiru, Mary"/>
    <s v="M03000298"/>
    <s v="N0000000298"/>
    <s v="Initial"/>
    <s v="F-1"/>
    <s v="Female"/>
    <s v="Kinesiology-MS"/>
    <s v="No"/>
    <s v="MOGO"/>
    <x v="0"/>
    <s v="Denied"/>
    <m/>
    <s v="Kenya"/>
    <s v="Kenya"/>
    <s v="Pre Arrival"/>
  </r>
  <r>
    <s v="Atieno, Sharon"/>
    <s v="M03000217"/>
    <s v="N0000000217"/>
    <s v="Initial"/>
    <s v="F-1"/>
    <s v="Female"/>
    <s v="Business Admin-MBA"/>
    <s v="No"/>
    <s v="No"/>
    <x v="1"/>
    <m/>
    <m/>
    <s v="Kenya"/>
    <s v="Kenya"/>
    <s v="Pre Arrival"/>
  </r>
  <r>
    <s v="Alemu, Selam"/>
    <s v="M03000344"/>
    <s v="N0000000344"/>
    <s v="Initial"/>
    <s v="F-1"/>
    <s v="Female"/>
    <s v="International Affairs-MIA"/>
    <s v="No"/>
    <s v="MOGO"/>
    <x v="0"/>
    <m/>
    <m/>
    <s v="Ethiopia"/>
    <s v="Ethiopia"/>
    <s v="Pre Arrival"/>
  </r>
  <r>
    <s v="Mohammadi, Sara"/>
    <s v="M03000306"/>
    <s v="N0000000306"/>
    <s v="Initial"/>
    <s v="F-1"/>
    <s v="Female"/>
    <s v="Business Admin-MBA"/>
    <s v="No"/>
    <s v="MOGO"/>
    <x v="1"/>
    <m/>
    <m/>
    <s v="Iran"/>
    <s v="Iran"/>
    <s v="Pre Arrival"/>
  </r>
  <r>
    <s v="Khan, Rafi"/>
    <s v="M03000032"/>
    <s v="N0000000032"/>
    <s v="Initial"/>
    <s v="F-1"/>
    <s v="Male"/>
    <s v="Computer Science-MS"/>
    <s v="No"/>
    <s v="IPFW/Refund"/>
    <x v="1"/>
    <m/>
    <m/>
    <s v="Bangladesh"/>
    <s v="Bangladesh"/>
    <s v="Pre Arrival"/>
  </r>
  <r>
    <s v="Gurung, Sita"/>
    <s v="M03000213"/>
    <s v="N0000000213"/>
    <s v="Draft"/>
    <s v="F-1"/>
    <s v="Female"/>
    <s v="Business Admin-MBA"/>
    <s v="No"/>
    <s v="MOGO"/>
    <x v="1"/>
    <m/>
    <m/>
    <s v="Nepal"/>
    <s v="Nepal"/>
    <s v="Pre Arrival"/>
  </r>
  <r>
    <s v="Raj, Kumar"/>
    <s v="M03000040"/>
    <s v="N0000000040"/>
    <s v="Initial"/>
    <s v="F-1"/>
    <s v="Male"/>
    <s v="Business Admin-MBA"/>
    <s v="No"/>
    <s v="No"/>
    <x v="1"/>
    <m/>
    <m/>
    <s v="India"/>
    <s v="India"/>
    <s v="Pre Arrival"/>
  </r>
  <r>
    <s v="Tunde, Balogun"/>
    <s v="M03000148"/>
    <s v="N0000000148"/>
    <s v="Initial"/>
    <s v="F-1"/>
    <s v="Male"/>
    <s v="Project Management-MS"/>
    <s v="No"/>
    <s v="No"/>
    <x v="0"/>
    <m/>
    <m/>
    <s v="Nigeria"/>
    <s v="Nigeria"/>
    <s v="Pre Arrival"/>
  </r>
  <r>
    <s v="Adhikari, Nisha"/>
    <s v="M03000121"/>
    <s v="N0000000121"/>
    <s v="Initial"/>
    <s v="F-1"/>
    <s v="Female"/>
    <s v="Business Admin-MBA"/>
    <s v="No"/>
    <s v="No"/>
    <x v="0"/>
    <s v="Yes"/>
    <m/>
    <s v="Nepal"/>
    <s v="Nepal"/>
    <s v="Pre Arrival"/>
  </r>
  <r>
    <s v="Ifeanyi, Eze"/>
    <s v="M03000232"/>
    <s v="N0000000232"/>
    <s v="Initial"/>
    <s v="F-1"/>
    <s v="Male"/>
    <s v="Business Admin-MBA"/>
    <s v="No"/>
    <s v="No"/>
    <x v="1"/>
    <m/>
    <m/>
    <s v="Nigeria"/>
    <s v="Nigeria"/>
    <s v="Pre Arrival"/>
  </r>
  <r>
    <s v="Tran, Huong"/>
    <s v="M03000277"/>
    <s v="N0000000277"/>
    <s v="Initial"/>
    <s v="F-1"/>
    <s v="Female"/>
    <s v="Natural &amp; Applied Sci-CS-MNAS"/>
    <s v="No"/>
    <s v="IPFW"/>
    <x v="0"/>
    <m/>
    <s v="Transfer-Out"/>
    <s v="Vietnam"/>
    <s v="Vietnam"/>
    <s v="Pre Arrival"/>
  </r>
  <r>
    <s v="Afia, Mensima"/>
    <s v="M03000077"/>
    <s v="N0000000077"/>
    <s v="Initial"/>
    <s v="F-1"/>
    <s v="Female"/>
    <s v="Business Admin-MBA"/>
    <s v="No"/>
    <s v="No"/>
    <x v="1"/>
    <m/>
    <m/>
    <s v="Ghana"/>
    <s v="Ghana"/>
    <s v="Pre Arrival"/>
  </r>
  <r>
    <s v="Rahman, Fatima"/>
    <s v="M03000224"/>
    <s v="N0000000224"/>
    <s v="Initial"/>
    <s v="F-1"/>
    <s v="Female"/>
    <s v="Project Management-MS"/>
    <s v="No"/>
    <s v="No"/>
    <x v="0"/>
    <m/>
    <m/>
    <s v="Bangladesh"/>
    <s v="Bangladesh"/>
    <s v="Pre Arrival"/>
  </r>
  <r>
    <s v="Sanchez, Adrian"/>
    <s v="M03000110"/>
    <s v="N0000000110"/>
    <s v="Initial"/>
    <s v="F-1"/>
    <s v="Male"/>
    <s v="Public Health-MPH"/>
    <s v="No"/>
    <s v="No"/>
    <x v="1"/>
    <m/>
    <m/>
    <s v="Spain"/>
    <s v="Spain"/>
    <s v="Pre Arrival"/>
  </r>
  <r>
    <s v="Emeka, Obi"/>
    <s v="M03000023"/>
    <s v="N0000000023"/>
    <s v="Initial"/>
    <s v="F-1"/>
    <s v="Male"/>
    <s v="Project Management-MS"/>
    <s v="No"/>
    <s v="No"/>
    <x v="1"/>
    <m/>
    <m/>
    <s v="Nigeria"/>
    <s v="Nigeria"/>
    <s v="Pre Arrival"/>
  </r>
  <r>
    <s v="Do, Anh"/>
    <s v="M03000135"/>
    <s v="N0000000135"/>
    <s v="Initial"/>
    <s v="F-1"/>
    <s v="Female"/>
    <s v="Computer Science-MS"/>
    <s v="No"/>
    <s v="IPFW"/>
    <x v="0"/>
    <s v="Yes"/>
    <m/>
    <s v="Vietnam"/>
    <s v="Vietnam"/>
    <s v="Pre Arrival"/>
  </r>
  <r>
    <s v="Adwoa, Serwaa"/>
    <s v="M03000098"/>
    <s v="N0000000098"/>
    <s v="Initial"/>
    <s v="F-1"/>
    <s v="Female"/>
    <s v="Public Health-MPH"/>
    <s v="No"/>
    <s v="No"/>
    <x v="1"/>
    <m/>
    <m/>
    <s v="Ghana"/>
    <s v="Ghana"/>
    <s v="Pre Arrival"/>
  </r>
  <r>
    <s v="Neha, Gupta"/>
    <s v="M03000179"/>
    <s v="N0000000179"/>
    <s v="Initial"/>
    <s v="F-1"/>
    <s v="Female"/>
    <s v="Project Management-MS"/>
    <s v="No"/>
    <s v="No"/>
    <x v="1"/>
    <m/>
    <m/>
    <s v="India"/>
    <s v="India"/>
    <s v="Pre Arrival"/>
  </r>
  <r>
    <s v="Ivanova, Anna"/>
    <s v="M03000143"/>
    <s v="N0000000143"/>
    <s v="Initial"/>
    <s v="F-1"/>
    <s v="Female"/>
    <s v="Computer Science-MS"/>
    <s v="Yes"/>
    <s v="No"/>
    <x v="0"/>
    <s v="Yes"/>
    <m/>
    <s v="Russia"/>
    <s v="Russia"/>
    <s v="Pre Arrival"/>
  </r>
  <r>
    <s v="Miguel, Lopez"/>
    <s v="M03000278"/>
    <s v="N0000000278"/>
    <s v="Initial"/>
    <s v="F-1"/>
    <s v="Male"/>
    <s v="Business Admin-MBA"/>
    <s v="No"/>
    <s v="No"/>
    <x v="0"/>
    <s v="Yes"/>
    <m/>
    <s v="Mexico"/>
    <s v="Mexico"/>
    <s v="Pre Arrival"/>
  </r>
  <r>
    <s v="Sultana, Nusrat"/>
    <s v="M03000028"/>
    <s v="N0000000028"/>
    <s v="Initial"/>
    <s v="F-1"/>
    <s v="Female"/>
    <s v="Business Admin-MBA"/>
    <s v="No"/>
    <s v="No"/>
    <x v="0"/>
    <m/>
    <m/>
    <s v="Bangladesh"/>
    <s v="Bangladesh"/>
    <s v="Pre Arrival"/>
  </r>
  <r>
    <s v="Chirwa, Kelvin"/>
    <s v="M03000086"/>
    <s v="N0000000086"/>
    <s v="Initial"/>
    <s v="F-1"/>
    <s v="Male"/>
    <s v="Biology-MS"/>
    <s v="No"/>
    <s v="No"/>
    <x v="1"/>
    <m/>
    <m/>
    <s v="Malawi"/>
    <s v="Malawi"/>
    <s v="Pre Arrival"/>
  </r>
  <r>
    <s v="Funke, Ojo"/>
    <s v="M03000231"/>
    <s v="N0000000231"/>
    <s v="Initial"/>
    <s v="F-1"/>
    <s v="Female"/>
    <s v="Business Admin-MBA"/>
    <s v="No"/>
    <s v="No"/>
    <x v="1"/>
    <m/>
    <m/>
    <s v="Nigeria"/>
    <s v="Nigeria"/>
    <s v="Pre Arrival"/>
  </r>
  <r>
    <s v="Khan, Rafi"/>
    <s v="M03000114"/>
    <s v="N0000000114"/>
    <s v="Initial"/>
    <s v="F-1"/>
    <s v="Male"/>
    <s v="Computer Science-MS"/>
    <s v="Yes"/>
    <s v="No"/>
    <x v="0"/>
    <s v="Yes"/>
    <m/>
    <s v="Bangladesh"/>
    <s v="Bangladesh"/>
    <s v="Pre Arrival"/>
  </r>
  <r>
    <s v="Raza, Fahad"/>
    <s v="M03000065"/>
    <s v="N0000000065"/>
    <s v="Initial"/>
    <s v="F-1"/>
    <s v="Male"/>
    <s v="Materials Science-MS"/>
    <s v="No"/>
    <s v="IPFW/Refund"/>
    <x v="1"/>
    <m/>
    <m/>
    <s v="Pakistan"/>
    <s v="Pakistan"/>
    <s v="Pre Arrival"/>
  </r>
  <r>
    <s v="Olu, Adewale"/>
    <s v="M03000248"/>
    <s v="N0000000248"/>
    <s v="Initial"/>
    <s v="F-1"/>
    <s v="Male"/>
    <s v="Project Management-MS"/>
    <s v="No"/>
    <s v="No"/>
    <x v="1"/>
    <m/>
    <m/>
    <s v="Nigeria"/>
    <s v="Nigeria"/>
    <s v="Pre Arrival"/>
  </r>
  <r>
    <s v="Ravi, Singh"/>
    <s v="M03000030"/>
    <s v="N0000000030"/>
    <s v="Initial"/>
    <s v="F-1"/>
    <s v="Male"/>
    <s v="Computer Science-MS"/>
    <s v="No"/>
    <s v="No"/>
    <x v="0"/>
    <m/>
    <m/>
    <s v="India"/>
    <s v="India"/>
    <s v="Pre Arrival"/>
  </r>
  <r>
    <s v="Hossain, Imran"/>
    <s v="M03000138"/>
    <s v="N0000000138"/>
    <s v="Initial"/>
    <s v="F-1"/>
    <s v="Male"/>
    <s v="Educational Technology-MSED"/>
    <s v="No"/>
    <s v="No"/>
    <x v="1"/>
    <m/>
    <m/>
    <s v="Bangladesh"/>
    <s v="Bangladesh"/>
    <s v="Pre Arrival"/>
  </r>
  <r>
    <s v="Ngozi, Okeke"/>
    <s v="M03000335"/>
    <s v="N0000000335"/>
    <s v="Initial"/>
    <s v="F-1"/>
    <s v="Female"/>
    <s v="Computer Science-MS"/>
    <s v="No"/>
    <s v="No"/>
    <x v="1"/>
    <m/>
    <m/>
    <s v="Nigeria"/>
    <s v="Nigeria"/>
    <s v="Pre Arrival"/>
  </r>
  <r>
    <s v="Chioma, Nwosu"/>
    <s v="M03000061"/>
    <s v="N0000000061"/>
    <s v="Initial"/>
    <s v="F-1"/>
    <s v="Female"/>
    <s v="Music, Master of-MM"/>
    <s v="No"/>
    <s v="No"/>
    <x v="0"/>
    <m/>
    <m/>
    <s v="Nigeria"/>
    <s v="Nigeria"/>
    <s v="Pre Arrival"/>
  </r>
  <r>
    <s v="Gurung, Sita"/>
    <s v="M03000094"/>
    <s v="N0000000094"/>
    <s v="Initial"/>
    <s v="F-1"/>
    <s v="Female"/>
    <s v="Project Management-MS"/>
    <s v="No"/>
    <s v="MOGO"/>
    <x v="0"/>
    <s v="Yes"/>
    <m/>
    <s v="Nepal"/>
    <s v="Nepal"/>
    <s v="Pre Arrival"/>
  </r>
  <r>
    <s v="Ahmadi, Sina"/>
    <s v="M03000324"/>
    <s v="N0000000324"/>
    <s v="Initial"/>
    <s v="F-1"/>
    <s v="Male"/>
    <s v="Business Admin-MBA"/>
    <s v="Yes"/>
    <s v="No"/>
    <x v="1"/>
    <m/>
    <m/>
    <s v="Iran"/>
    <s v="Iran"/>
    <s v="Pre Arrival"/>
  </r>
  <r>
    <s v="Anita, Patel"/>
    <s v="M03000079"/>
    <s v="N0000000079"/>
    <s v="Initial"/>
    <s v="F-1"/>
    <s v="Female"/>
    <s v="Business Admin-MBA"/>
    <s v="No"/>
    <s v="No"/>
    <x v="0"/>
    <m/>
    <m/>
    <s v="India"/>
    <s v="India"/>
    <s v="Pre Arrival"/>
  </r>
  <r>
    <s v="Okello, Moses"/>
    <s v="M03000164"/>
    <s v="N0000000164"/>
    <s v="Initial"/>
    <s v="F-1"/>
    <s v="Male"/>
    <s v="Project Management-MS"/>
    <s v="No"/>
    <s v="No"/>
    <x v="0"/>
    <m/>
    <m/>
    <s v="Uganda"/>
    <s v="Uganda"/>
    <s v="Pre Arrival"/>
  </r>
  <r>
    <s v="Begum, Aisha"/>
    <s v="M03000353"/>
    <s v="N0000000353"/>
    <s v="Initial"/>
    <s v="F-1"/>
    <s v="Female"/>
    <s v="Educational Technology-MSED"/>
    <s v="No"/>
    <s v="MOGO"/>
    <x v="0"/>
    <m/>
    <m/>
    <s v="Bangladesh"/>
    <s v="Bangladesh"/>
    <s v="Pre Arrival"/>
  </r>
  <r>
    <s v="Şahin, Can"/>
    <s v="M03000165"/>
    <s v="N0000000165"/>
    <s v="Initial"/>
    <s v="F-1"/>
    <s v="Male"/>
    <s v="Public Health-MPH"/>
    <s v="Yes"/>
    <s v="No"/>
    <x v="0"/>
    <s v="Yes"/>
    <m/>
    <s v="Turkey"/>
    <s v="Turkey"/>
    <s v="Pre Arrival"/>
  </r>
  <r>
    <s v="Alimova, Aida"/>
    <s v="M03000362"/>
    <s v="N0000000362"/>
    <s v="Initial"/>
    <s v="F-1"/>
    <s v="Female"/>
    <s v="Project Management-MS"/>
    <s v="Yes"/>
    <s v="No"/>
    <x v="0"/>
    <s v="Yes"/>
    <m/>
    <s v="Kazakhstan"/>
    <s v="Kazakhstan"/>
    <s v="Pre Arrival"/>
  </r>
  <r>
    <s v="Kofi, Boateng"/>
    <s v="M03000038"/>
    <s v="N0000000038"/>
    <s v="Initial"/>
    <s v="F-1"/>
    <s v="Male"/>
    <s v="Business Admin-MBA"/>
    <s v="No"/>
    <s v="IPFW/Refund"/>
    <x v="1"/>
    <m/>
    <m/>
    <s v="Ghana"/>
    <s v="Ghana"/>
    <s v="Pre Arrival"/>
  </r>
  <r>
    <s v="Thapa, Richa"/>
    <s v="M03000127"/>
    <s v="N0000000127"/>
    <s v="Initial"/>
    <s v="F-1"/>
    <s v="Female"/>
    <s v="Public Health-MPH"/>
    <s v="No"/>
    <s v="MOGO"/>
    <x v="1"/>
    <m/>
    <m/>
    <s v="Nepal"/>
    <s v="Nepal"/>
    <s v="Pre Arrival"/>
  </r>
  <r>
    <s v="Kiptoo, Daniel"/>
    <s v="M03000202"/>
    <s v="N0000000202"/>
    <s v="Initial"/>
    <s v="F-1"/>
    <s v="Male"/>
    <s v="Materials Science-MS"/>
    <s v="No"/>
    <s v="MOGO"/>
    <x v="0"/>
    <m/>
    <m/>
    <s v="Kenya"/>
    <s v="Kenya"/>
    <s v="Pre Arrival"/>
  </r>
  <r>
    <s v="Rahman, Hasan"/>
    <s v="M03000201"/>
    <s v="N0000000201"/>
    <s v="Initial"/>
    <s v="F-1"/>
    <s v="Male"/>
    <s v="Project Management-MS"/>
    <s v="No"/>
    <s v="No"/>
    <x v="1"/>
    <m/>
    <m/>
    <s v="Bangladesh"/>
    <s v="Bangladesh"/>
    <s v="Pre Arrival"/>
  </r>
  <r>
    <s v="Khan, Rafi"/>
    <s v="M03000287"/>
    <s v="N0000000287"/>
    <s v="Initial"/>
    <s v="F-1"/>
    <s v="Male"/>
    <s v="Appld Secnd Lang Acquisn-MASLA"/>
    <s v="Yes"/>
    <s v="No"/>
    <x v="0"/>
    <s v="Yes"/>
    <m/>
    <s v="Bangladesh"/>
    <s v="Bangladesh"/>
    <s v="Pre Arrival"/>
  </r>
  <r>
    <s v="Kamau, Peter"/>
    <s v="M03000336"/>
    <s v="N0000000336"/>
    <s v="Initial"/>
    <s v="F-1"/>
    <s v="Male"/>
    <s v="Computer Science-MS"/>
    <s v="No"/>
    <s v="MOGO/REFUND"/>
    <x v="1"/>
    <m/>
    <m/>
    <s v="Kenya"/>
    <s v="Kenya"/>
    <s v="Pre Arrival"/>
  </r>
  <r>
    <s v="Rahman, Hasan"/>
    <s v="M03000291"/>
    <s v="N0000000291"/>
    <s v="Initial"/>
    <s v="F-1"/>
    <s v="Male"/>
    <s v="Business Admin-MBA"/>
    <s v="No"/>
    <s v="No"/>
    <x v="1"/>
    <m/>
    <m/>
    <s v="Bangladesh"/>
    <s v="Bangladesh"/>
    <s v="Pre Arrival"/>
  </r>
  <r>
    <s v="Yetunde, Adeyemi"/>
    <s v="M03000109"/>
    <s v="N0000000109"/>
    <s v="Initial"/>
    <s v="F-1"/>
    <s v="Female"/>
    <s v="Accountancy-MACC"/>
    <s v="No"/>
    <s v="No"/>
    <x v="1"/>
    <m/>
    <m/>
    <s v="Nigeria"/>
    <s v="Nigeria"/>
    <s v="Pre Arrival"/>
  </r>
  <r>
    <s v="Otieno, Brian"/>
    <s v="M03000193"/>
    <s v="N0000000193"/>
    <s v="Initial"/>
    <s v="F-1"/>
    <s v="Male"/>
    <s v="Computer Science-MS"/>
    <s v="No"/>
    <s v="No"/>
    <x v="1"/>
    <m/>
    <m/>
    <s v="Kenya"/>
    <s v="Kenya"/>
    <s v="Pre Arrival"/>
  </r>
  <r>
    <s v="Kwame, Mensah"/>
    <s v="M03000200"/>
    <s v="N0000000200"/>
    <s v="Initial"/>
    <s v="F-1"/>
    <s v="Male"/>
    <s v="Kinesiology-MS"/>
    <s v="No"/>
    <s v="MOGO"/>
    <x v="1"/>
    <m/>
    <m/>
    <s v="Ghana"/>
    <s v="Ghana"/>
    <s v="Pre Arrival"/>
  </r>
  <r>
    <s v="Wanjiru, Mary"/>
    <s v="M03000171"/>
    <s v="N0000000171"/>
    <s v="Initial"/>
    <s v="F-1"/>
    <s v="Female"/>
    <s v="Computer Science-MS"/>
    <s v="No"/>
    <s v="No"/>
    <x v="1"/>
    <m/>
    <m/>
    <s v="Kenya"/>
    <s v="Kenya"/>
    <s v="Pre Arrival"/>
  </r>
  <r>
    <s v="Wang, Mei"/>
    <s v="M03000316"/>
    <s v="N0000000316"/>
    <s v="Initial"/>
    <s v="F-1"/>
    <s v="Female"/>
    <s v="Educational Technology-MSED"/>
    <s v="No"/>
    <s v="MOGO"/>
    <x v="0"/>
    <s v="Yes"/>
    <m/>
    <s v="China"/>
    <s v="China"/>
    <s v="Pre Arrival"/>
  </r>
  <r>
    <s v="Chioma, Nwosu"/>
    <s v="M03000246"/>
    <s v="N0000000246"/>
    <s v="Initial"/>
    <s v="F-1"/>
    <s v="Female"/>
    <s v="Business Admin-MBA"/>
    <s v="Yes"/>
    <s v="No"/>
    <x v="0"/>
    <m/>
    <m/>
    <s v="Nigeria"/>
    <s v="Nigeria"/>
    <s v="Pre Arrival"/>
  </r>
  <r>
    <s v="Njeri, Ann"/>
    <s v="M03000219"/>
    <s v="N0000000219"/>
    <s v="Initial"/>
    <s v="F-1"/>
    <s v="Female"/>
    <s v="Chemistry-MS"/>
    <s v="No"/>
    <s v="No"/>
    <x v="1"/>
    <m/>
    <m/>
    <s v="Kenya"/>
    <s v="Kenya"/>
    <s v="Pre Arrival"/>
  </r>
  <r>
    <s v="Bianchi, Davide"/>
    <s v="M03000359"/>
    <s v="N0000000359"/>
    <s v="Initial"/>
    <s v="F-1"/>
    <s v="Male"/>
    <s v="Professional Studies-MPS"/>
    <s v="No"/>
    <s v="No"/>
    <x v="0"/>
    <s v="Yes"/>
    <m/>
    <s v="Italy"/>
    <s v="Italy"/>
    <s v="Pre Arrival"/>
  </r>
  <r>
    <s v="Nguyen, Bao"/>
    <s v="M03000226"/>
    <s v="N0000000226"/>
    <s v="Initial"/>
    <s v="F-1"/>
    <s v="Male"/>
    <s v="Project Management-MS"/>
    <s v="No"/>
    <s v="No"/>
    <x v="1"/>
    <m/>
    <m/>
    <s v="Vietnam"/>
    <s v="Vietnam"/>
    <s v="Pre Arrival"/>
  </r>
  <r>
    <s v="Kamau, Peter"/>
    <s v="M03000330"/>
    <s v="N0000000330"/>
    <s v="Initial"/>
    <s v="F-1"/>
    <s v="Male"/>
    <s v="Mathematics-MS"/>
    <s v="No"/>
    <s v="No"/>
    <x v="0"/>
    <s v="Denied"/>
    <m/>
    <s v="Kenya"/>
    <s v="Kenya"/>
    <s v="Pre Arrival"/>
  </r>
  <r>
    <s v="Priya, Sharma"/>
    <s v="M03000137"/>
    <s v="N0000000137"/>
    <s v="Initial"/>
    <s v="F-1"/>
    <s v="Female"/>
    <s v="Computer Science-MS"/>
    <s v="No"/>
    <s v="MOGO"/>
    <x v="1"/>
    <m/>
    <m/>
    <s v="India"/>
    <s v="India"/>
    <s v="Pre Arrival"/>
  </r>
  <r>
    <s v="Amaka, Obi"/>
    <s v="M03000090"/>
    <s v="N0000000090"/>
    <s v="Initial"/>
    <s v="F-1"/>
    <s v="Female"/>
    <s v="Computer Science-MS"/>
    <s v="No"/>
    <s v="No"/>
    <x v="1"/>
    <m/>
    <m/>
    <s v="Nigeria"/>
    <s v="Nigeria"/>
    <s v="Pre Arrival"/>
  </r>
  <r>
    <s v="Yaw, Owusu"/>
    <s v="M03000265"/>
    <s v="N0000000265"/>
    <s v="Initial"/>
    <s v="F-1"/>
    <s v="Male"/>
    <s v="Public Health-MPH"/>
    <s v="No"/>
    <s v="MOGO"/>
    <x v="1"/>
    <m/>
    <m/>
    <s v="Ghana"/>
    <s v="Ghana"/>
    <s v="Pre Arrival"/>
  </r>
  <r>
    <s v="Chioma, Nwosu"/>
    <s v="M03000260"/>
    <s v="N0000000260"/>
    <s v="Initial"/>
    <s v="F-1"/>
    <s v="Female"/>
    <s v="Educational Technology-MSED"/>
    <s v="No"/>
    <s v="No"/>
    <x v="1"/>
    <m/>
    <m/>
    <s v="Nigeria"/>
    <s v="Nigeria"/>
    <s v="Pre Arrival"/>
  </r>
  <r>
    <s v="Thapa, Richa"/>
    <s v="M03000313"/>
    <s v="N0000000313"/>
    <s v="Initial"/>
    <s v="F-1"/>
    <s v="Female"/>
    <s v="Business Admin-MBA"/>
    <s v="No"/>
    <s v="MOGO"/>
    <x v="0"/>
    <m/>
    <m/>
    <s v="Nepal"/>
    <s v="Nepal"/>
    <s v="Pre Arrival"/>
  </r>
  <r>
    <s v="Esi, Owusu"/>
    <s v="M03000031"/>
    <s v="N0000000031"/>
    <s v="Initial"/>
    <s v="F-1"/>
    <s v="Female"/>
    <s v="Business Admin-MBA"/>
    <s v="Yes"/>
    <s v="No"/>
    <x v="1"/>
    <m/>
    <m/>
    <s v="Ghana"/>
    <s v="Ghana"/>
    <s v="Pre Arrival"/>
  </r>
  <r>
    <s v="Pooja, Rani"/>
    <s v="M03000044"/>
    <s v="N0000000044"/>
    <s v="Initial"/>
    <s v="F-1"/>
    <s v="Female"/>
    <s v="Mathematics-MS"/>
    <s v="No"/>
    <s v="No"/>
    <x v="0"/>
    <s v="Yes"/>
    <s v="Emailed for Update"/>
    <s v="India"/>
    <s v="India"/>
    <s v="Pre Arrival"/>
  </r>
  <r>
    <s v="Anita, Patel"/>
    <s v="M03000271"/>
    <s v="N0000000271"/>
    <s v="Initial"/>
    <s v="F-1"/>
    <s v="Female"/>
    <s v="Materials Science-MS"/>
    <s v="No"/>
    <s v="No"/>
    <x v="1"/>
    <m/>
    <m/>
    <s v="India"/>
    <s v="India"/>
    <s v="Pre Arrival"/>
  </r>
  <r>
    <s v="Rahman, Fatima"/>
    <s v="M03000295"/>
    <s v="N0000000295"/>
    <s v="Initial"/>
    <s v="F-1"/>
    <s v="Female"/>
    <s v="Accountancy-MACC"/>
    <s v="No"/>
    <s v="No"/>
    <x v="1"/>
    <m/>
    <m/>
    <s v="Bangladesh"/>
    <s v="Bangladesh"/>
    <s v="Pre Arrival"/>
  </r>
  <r>
    <s v="Hossain, Imran"/>
    <s v="M03000133"/>
    <s v="N0000000133"/>
    <s v="Initial"/>
    <s v="F-1"/>
    <s v="Male"/>
    <s v="Public Health-MPH"/>
    <s v="No"/>
    <s v="No"/>
    <x v="0"/>
    <m/>
    <m/>
    <s v="Bangladesh"/>
    <s v="Bangladesh"/>
    <s v="Pre Arrival"/>
  </r>
  <r>
    <s v="Kojo, Asante"/>
    <s v="M03000119"/>
    <s v="N0000000119"/>
    <s v="Initial"/>
    <s v="F-1"/>
    <s v="Male"/>
    <s v="Business Admin-MBA"/>
    <s v="No"/>
    <s v="No"/>
    <x v="0"/>
    <m/>
    <m/>
    <s v="Ghana"/>
    <s v="Ghana"/>
    <s v="Pre Arrival"/>
  </r>
  <r>
    <s v="Ahmadi, Sina"/>
    <s v="M03000049"/>
    <s v="N0000000049"/>
    <s v="Initial"/>
    <s v="F-1"/>
    <s v="Male"/>
    <s v="Computer Science-MS"/>
    <s v="No"/>
    <s v="No"/>
    <x v="1"/>
    <m/>
    <m/>
    <s v="Iran"/>
    <s v="Iran"/>
    <s v="Pre Arrival"/>
  </r>
  <r>
    <s v="Khan, Rafi"/>
    <s v="M03000036"/>
    <s v="N0000000036"/>
    <s v="Initial"/>
    <s v="F-1"/>
    <s v="Male"/>
    <s v="Business Admin-MBA"/>
    <s v="No"/>
    <s v="No"/>
    <x v="1"/>
    <m/>
    <m/>
    <s v="Bangladesh"/>
    <s v="Bangladesh"/>
    <s v="Pre Arrival"/>
  </r>
  <r>
    <s v="Amit, Sharma"/>
    <s v="M03000116"/>
    <s v="N0000000116"/>
    <s v="Initial"/>
    <s v="F-1"/>
    <s v="Male"/>
    <s v="Chemistry-MS"/>
    <s v="No"/>
    <s v="No"/>
    <x v="1"/>
    <m/>
    <m/>
    <s v="India"/>
    <s v="India"/>
    <s v="Pre Arrival"/>
  </r>
  <r>
    <s v="Ama, Nyarko"/>
    <s v="M03000039"/>
    <s v="N0000000039"/>
    <s v="Initial"/>
    <s v="F-1"/>
    <s v="Female"/>
    <s v="Business Admin-MBA"/>
    <s v="No"/>
    <s v="No"/>
    <x v="0"/>
    <s v="Denied"/>
    <m/>
    <s v="Ghana"/>
    <s v="Ghana"/>
    <s v="Pre Arrival"/>
  </r>
  <r>
    <s v="Amaka, Obi"/>
    <s v="M03000351"/>
    <s v="N0000000351"/>
    <s v="Initial"/>
    <s v="F-1"/>
    <s v="Female"/>
    <s v="Project Management-MS"/>
    <s v="Yes"/>
    <s v="No"/>
    <x v="1"/>
    <m/>
    <m/>
    <s v="Nigeria"/>
    <s v="Nigeria"/>
    <s v="Pre Arrival"/>
  </r>
  <r>
    <s v="Chioma, Nwosu"/>
    <s v="M03000004"/>
    <s v="N0000000004"/>
    <s v="Initial"/>
    <s v="F-1"/>
    <s v="Female"/>
    <s v="Business Admin-MBA"/>
    <s v="Yes"/>
    <s v="No"/>
    <x v="0"/>
    <s v="Denied"/>
    <m/>
    <s v="Nigeria"/>
    <s v="Nigeria"/>
    <s v="Pre Arrival"/>
  </r>
  <r>
    <s v="Chioma, Nwosu"/>
    <s v="M03000159"/>
    <s v="N0000000159"/>
    <s v="Initial"/>
    <s v="F-1"/>
    <s v="Female"/>
    <s v="Project Management-MS"/>
    <s v="No"/>
    <s v="No"/>
    <x v="1"/>
    <m/>
    <m/>
    <s v="Nigeria"/>
    <s v="Nigeria"/>
    <s v="Pre Arrival"/>
  </r>
  <r>
    <s v="Anil, Patel"/>
    <s v="M03000270"/>
    <s v="N0000000270"/>
    <s v="Initial"/>
    <s v="F-1"/>
    <s v="Male"/>
    <s v="Business Admin-MBA"/>
    <s v="No"/>
    <s v="No"/>
    <x v="1"/>
    <m/>
    <m/>
    <s v="India"/>
    <s v="India"/>
    <s v="Pre Arrival"/>
  </r>
  <r>
    <s v="Otieno, Brian"/>
    <s v="M03000288"/>
    <s v="N0000000288"/>
    <s v="Initial"/>
    <s v="F-1"/>
    <s v="Male"/>
    <s v="Health Promo &amp; Wellness Mgt-MS"/>
    <s v="No"/>
    <s v="No"/>
    <x v="1"/>
    <m/>
    <m/>
    <s v="Kenya"/>
    <s v="Kenya"/>
    <s v="Pre Arrival"/>
  </r>
  <r>
    <s v="Ngozi, Okeke"/>
    <s v="M03000013"/>
    <s v="N0000000013"/>
    <s v="Initial"/>
    <s v="F-1"/>
    <s v="Female"/>
    <s v="Public Health-MPH"/>
    <s v="No"/>
    <s v="IPFW"/>
    <x v="1"/>
    <m/>
    <m/>
    <s v="Nigeria"/>
    <s v="Nigeria"/>
    <s v="Pre Arrival"/>
  </r>
  <r>
    <s v="Rahman, Hasan"/>
    <s v="M03000207"/>
    <s v="N0000000207"/>
    <s v="Initial"/>
    <s v="F-1"/>
    <s v="Male"/>
    <s v="Edu Admin/Elementary-MSED"/>
    <s v="Yes"/>
    <s v="No"/>
    <x v="0"/>
    <s v="Yes"/>
    <m/>
    <s v="Bangladesh"/>
    <s v="Bangladesh"/>
    <s v="Pre Arrival"/>
  </r>
  <r>
    <s v="Funke, Ojo"/>
    <s v="M03000071"/>
    <s v="N0000000071"/>
    <s v="Initial"/>
    <s v="F-1"/>
    <s v="Female"/>
    <s v="Business Admin-MBA"/>
    <s v="No"/>
    <s v="No"/>
    <x v="1"/>
    <m/>
    <m/>
    <s v="Nigeria"/>
    <s v="Nigeria"/>
    <s v="Pre Arrival"/>
  </r>
  <r>
    <s v="Gurung, Sita"/>
    <s v="M03000308"/>
    <s v="N0000000308"/>
    <s v="Initial"/>
    <s v="F-1"/>
    <s v="Female"/>
    <s v="Computer Science-MS"/>
    <s v="No"/>
    <s v="No"/>
    <x v="1"/>
    <m/>
    <m/>
    <s v="Nepal"/>
    <s v="Nepal"/>
    <s v="Pre Arrival"/>
  </r>
  <r>
    <s v="Funke, Ojo"/>
    <s v="M03000102"/>
    <s v="N0000000102"/>
    <s v="Initial"/>
    <s v="F-1"/>
    <s v="Female"/>
    <s v="Computer Science-MS"/>
    <s v="No"/>
    <s v="No"/>
    <x v="1"/>
    <m/>
    <m/>
    <s v="Nigeria"/>
    <s v="Nigeria"/>
    <s v="Pre Arrival"/>
  </r>
  <r>
    <s v="Gurung, Sita"/>
    <s v="M03000338"/>
    <s v="N0000000338"/>
    <s v="Initial"/>
    <s v="F-1"/>
    <s v="Female"/>
    <s v="Business Admin-MBA"/>
    <s v="No"/>
    <s v="No"/>
    <x v="1"/>
    <m/>
    <m/>
    <s v="Nepal"/>
    <s v="Nepal"/>
    <s v="Pre Arrival"/>
  </r>
  <r>
    <s v="Kofi, Boateng"/>
    <s v="M03000111"/>
    <s v="N0000000111"/>
    <s v="Initial"/>
    <s v="F-1"/>
    <s v="Male"/>
    <s v="Communication-MA"/>
    <s v="No"/>
    <s v="MOGO"/>
    <x v="1"/>
    <m/>
    <m/>
    <s v="Ghana"/>
    <s v="Ghana"/>
    <s v="Pre Arrival"/>
  </r>
  <r>
    <s v="Sultana, Nusrat"/>
    <s v="M03000156"/>
    <s v="N0000000156"/>
    <s v="Initial"/>
    <s v="F-1"/>
    <s v="Female"/>
    <s v="Public Health-MPH"/>
    <s v="No"/>
    <s v="No"/>
    <x v="1"/>
    <m/>
    <m/>
    <s v="Bangladesh"/>
    <s v="Bangladesh"/>
    <s v="Pre Arrival"/>
  </r>
  <r>
    <s v="Ahmadi, Ladan"/>
    <s v="M03000352"/>
    <s v="N0000000352"/>
    <s v="Initial"/>
    <s v="F-1"/>
    <s v="Female"/>
    <s v="Business Admin-MBA"/>
    <s v="No"/>
    <s v="No"/>
    <x v="1"/>
    <m/>
    <m/>
    <s v="Iran"/>
    <s v="Iran"/>
    <s v="Pre Arrival"/>
  </r>
  <r>
    <s v="Otieno, Brian"/>
    <s v="M03000218"/>
    <s v="N0000000218"/>
    <s v="Initial"/>
    <s v="F-1"/>
    <s v="Male"/>
    <s v="Mathematics-MS"/>
    <s v="No"/>
    <s v="No"/>
    <x v="1"/>
    <m/>
    <m/>
    <s v="Kenya"/>
    <s v="Kenya"/>
    <s v="Pre Arrival"/>
  </r>
  <r>
    <s v="Wang, Jun"/>
    <s v="M03000358"/>
    <s v="N0000000358"/>
    <s v="Initial"/>
    <s v="F-1"/>
    <s v="Male"/>
    <s v="Accountancy-MACC"/>
    <s v="No"/>
    <s v="No"/>
    <x v="0"/>
    <s v="Yes"/>
    <m/>
    <s v="China"/>
    <s v="China"/>
    <s v="Pre Arrival"/>
  </r>
  <r>
    <s v="Tunde, Balogun"/>
    <s v="M03000266"/>
    <s v="N0000000266"/>
    <s v="Initial"/>
    <s v="F-1"/>
    <s v="Male"/>
    <s v="Computer Science-MS"/>
    <s v="No"/>
    <s v="MOGO/REFUND"/>
    <x v="1"/>
    <m/>
    <m/>
    <s v="Nigeria"/>
    <s v="Nigeria"/>
    <s v="Pre Arrival"/>
  </r>
  <r>
    <s v="Mwangi, Joseph"/>
    <s v="M03000349"/>
    <s v="N0000000349"/>
    <s v="Initial"/>
    <s v="F-1"/>
    <s v="Male"/>
    <s v="Computer Science-MS"/>
    <s v="No"/>
    <s v="No"/>
    <x v="0"/>
    <s v="Denied"/>
    <m/>
    <s v="Kenya"/>
    <s v="Kenya"/>
    <s v="Pre Arrival"/>
  </r>
  <r>
    <s v="Kiptoo, Daniel"/>
    <s v="M03000240"/>
    <s v="N0000000240"/>
    <s v="Initial"/>
    <s v="F-1"/>
    <s v="Male"/>
    <s v="Accountancy-MACC"/>
    <s v="No"/>
    <s v="No"/>
    <x v="1"/>
    <m/>
    <m/>
    <s v="Kenya"/>
    <s v="Kenya"/>
    <s v="Pre Arrival"/>
  </r>
  <r>
    <s v="Hussain, Ali"/>
    <s v="M03000130"/>
    <s v="N0000000130"/>
    <s v="Initial"/>
    <s v="F-1"/>
    <s v="Male"/>
    <s v="International Affairs-MIA"/>
    <s v="No"/>
    <s v="MOGO"/>
    <x v="0"/>
    <m/>
    <m/>
    <s v="Pakistan"/>
    <s v="Pakistan"/>
    <s v="Pre Arrival"/>
  </r>
  <r>
    <s v="Olu, Adewale"/>
    <s v="M03000003"/>
    <s v="N0000000003"/>
    <s v="Initial"/>
    <s v="F-1"/>
    <s v="Male"/>
    <s v="Secondery Ed/English-MSED"/>
    <s v="No"/>
    <s v="No"/>
    <x v="0"/>
    <m/>
    <m/>
    <s v="Nigeria"/>
    <s v="Nigeria"/>
    <s v="Pre Arrival"/>
  </r>
  <r>
    <s v="Shrestha, Prakash"/>
    <s v="M03000332"/>
    <s v="N0000000332"/>
    <s v="Initial"/>
    <s v="F-1"/>
    <s v="Male"/>
    <s v="Computer Science-MS"/>
    <s v="No"/>
    <s v="No"/>
    <x v="0"/>
    <m/>
    <s v="Emailed for Update"/>
    <s v="Nepal"/>
    <s v="Nepal"/>
    <s v="Pre Arrival"/>
  </r>
  <r>
    <s v="Kofi, Boateng"/>
    <s v="M03000249"/>
    <s v="N0000000249"/>
    <s v="Initial"/>
    <s v="F-1"/>
    <s v="Male"/>
    <s v="Business Admin-MBA"/>
    <s v="No"/>
    <s v="No"/>
    <x v="0"/>
    <m/>
    <m/>
    <s v="Ghana"/>
    <s v="Ghana"/>
    <s v="Pre Arrival"/>
  </r>
  <r>
    <s v="Akua, Addo"/>
    <s v="M03000108"/>
    <s v="N0000000108"/>
    <s v="Initial"/>
    <s v="F-1"/>
    <s v="Female"/>
    <s v="Project Management-MS"/>
    <s v="No"/>
    <s v="IPFW"/>
    <x v="1"/>
    <m/>
    <m/>
    <s v="Ghana"/>
    <s v="Ghana"/>
    <s v="Pre Arrival"/>
  </r>
  <r>
    <s v="Wanjiru, Mary"/>
    <s v="M03000175"/>
    <s v="N0000000175"/>
    <s v="Initial"/>
    <s v="F-1"/>
    <s v="Female"/>
    <s v="Computer Science-MS"/>
    <s v="No"/>
    <s v="No"/>
    <x v="1"/>
    <m/>
    <m/>
    <s v="Kenya"/>
    <s v="Kenya"/>
    <s v="Pre Arrival"/>
  </r>
  <r>
    <s v="Pooja, Rani"/>
    <s v="M03000178"/>
    <s v="N0000000178"/>
    <s v="Initial"/>
    <s v="F-1"/>
    <s v="Female"/>
    <s v="Business Admin-MBA"/>
    <s v="No"/>
    <s v="No"/>
    <x v="0"/>
    <s v="Yes"/>
    <s v="Enrolled"/>
    <s v="India"/>
    <s v="India"/>
    <s v="Pre Arrival"/>
  </r>
  <r>
    <s v="Rahman, Hasan"/>
    <s v="M03000074"/>
    <s v="N0000000074"/>
    <s v="Initial"/>
    <s v="F-1"/>
    <s v="Male"/>
    <s v="Business Admin-MBA"/>
    <s v="No"/>
    <s v="No"/>
    <x v="1"/>
    <m/>
    <m/>
    <s v="Bangladesh"/>
    <s v="Bangladesh"/>
    <s v="Pre Arrival"/>
  </r>
  <r>
    <s v="Akter, Farzana"/>
    <s v="M03000267"/>
    <s v="N0000000267"/>
    <s v="Initial"/>
    <s v="F-1"/>
    <s v="Female"/>
    <s v="Business Admin-MBA"/>
    <s v="Yes"/>
    <s v="No"/>
    <x v="0"/>
    <s v="Yes"/>
    <m/>
    <s v="Bangladesh"/>
    <s v="Bangladesh"/>
    <s v="Pre Arrival"/>
  </r>
  <r>
    <s v="Jung, Hana"/>
    <s v="M03000269"/>
    <s v="N0000000269"/>
    <s v="Initial"/>
    <s v="F-1"/>
    <s v="Female"/>
    <s v="Computer Science-MS"/>
    <s v="No"/>
    <s v="MOGO"/>
    <x v="1"/>
    <m/>
    <m/>
    <s v="South Korea"/>
    <s v="South Korea"/>
    <s v="Pre Arrival"/>
  </r>
  <r>
    <s v="Ifeanyi, Eze"/>
    <s v="M03000158"/>
    <s v="N0000000158"/>
    <s v="Initial"/>
    <s v="F-1"/>
    <s v="Male"/>
    <s v="Agriculture-MS"/>
    <s v="No"/>
    <s v="No"/>
    <x v="1"/>
    <m/>
    <m/>
    <s v="Nigeria"/>
    <s v="Nigeria"/>
    <s v="Pre Arrival"/>
  </r>
  <r>
    <s v="Bojang, Ousman"/>
    <s v="M03000150"/>
    <s v="N0000000150"/>
    <s v="Initial"/>
    <s v="F-1"/>
    <s v="Male"/>
    <s v="Appld Secnd Lang Acquisn-MASLA"/>
    <s v="No"/>
    <s v="No"/>
    <x v="0"/>
    <m/>
    <m/>
    <s v="Gambia, The"/>
    <s v="Gambia, The"/>
    <s v="Pre Arrival"/>
  </r>
  <r>
    <s v="Atieno, Sharon"/>
    <s v="M03000170"/>
    <s v="N0000000170"/>
    <s v="Initial"/>
    <s v="F-1"/>
    <s v="Female"/>
    <s v="Business Admin-MBA"/>
    <s v="No"/>
    <s v="No"/>
    <x v="1"/>
    <m/>
    <m/>
    <s v="Kenya"/>
    <s v="Kenya"/>
    <s v="Pre Arrival"/>
  </r>
  <r>
    <s v="Amaka, Obi"/>
    <s v="M03000253"/>
    <s v="N0000000253"/>
    <s v="Initial"/>
    <s v="F-1"/>
    <s v="Female"/>
    <s v="Business Admin-MBA"/>
    <s v="No"/>
    <s v="No"/>
    <x v="1"/>
    <m/>
    <m/>
    <s v="Nigeria"/>
    <s v="Nigeria"/>
    <s v="Pre Arrival"/>
  </r>
  <r>
    <s v="Ahmed, Karim"/>
    <s v="M03000060"/>
    <s v="N0000000060"/>
    <s v="Initial"/>
    <s v="F-1"/>
    <s v="Male"/>
    <s v="Chemistry-MS"/>
    <s v="Yes"/>
    <s v="No"/>
    <x v="0"/>
    <s v="Yes"/>
    <m/>
    <s v="Bangladesh"/>
    <s v="Bangladesh"/>
    <s v="Pre Arrival"/>
  </r>
  <r>
    <s v="Njeri, Ann"/>
    <s v="M03000256"/>
    <s v="N0000000256"/>
    <s v="Initial"/>
    <s v="F-1"/>
    <s v="Female"/>
    <s v="Business Admin-MBA"/>
    <s v="Yes"/>
    <s v="No"/>
    <x v="0"/>
    <s v="Yes"/>
    <m/>
    <s v="Kenya"/>
    <s v="Kenya"/>
    <s v="Pre Arrival"/>
  </r>
  <r>
    <s v="Ravi, Singh"/>
    <s v="M03000085"/>
    <s v="N0000000085"/>
    <s v="Initial"/>
    <s v="F-1"/>
    <s v="Male"/>
    <s v="Business Admin-MBA"/>
    <s v="No"/>
    <s v="No"/>
    <x v="1"/>
    <m/>
    <m/>
    <s v="India"/>
    <s v="India"/>
    <s v="Pre Arrival"/>
  </r>
  <r>
    <s v="Amaka, Obi"/>
    <s v="M03000059"/>
    <s v="N0000000059"/>
    <s v="Initial"/>
    <s v="F-1"/>
    <s v="Female"/>
    <s v="Project Management-MS"/>
    <s v="Yes"/>
    <s v="No"/>
    <x v="1"/>
    <m/>
    <m/>
    <s v="Nigeria"/>
    <s v="Nigeria"/>
    <s v="Pre Arrival"/>
  </r>
  <r>
    <s v="Pooja, Rani"/>
    <s v="M03000078"/>
    <s v="N0000000078"/>
    <s v="Initial"/>
    <s v="F-1"/>
    <s v="Female"/>
    <s v="Counseling/Clin Mental Hlth-MS"/>
    <s v="No"/>
    <s v="MOGO"/>
    <x v="1"/>
    <m/>
    <m/>
    <s v="India"/>
    <s v="India"/>
    <s v="Pre Arrival"/>
  </r>
  <r>
    <s v="Olu, Adewale"/>
    <s v="M03000139"/>
    <s v="N0000000139"/>
    <s v="Initial"/>
    <s v="F-1"/>
    <s v="Male"/>
    <s v="Counseling/Clin Mental Hlth-MS"/>
    <s v="No"/>
    <s v="No"/>
    <x v="1"/>
    <m/>
    <m/>
    <s v="Nigeria"/>
    <s v="Nigeria"/>
    <s v="Pre Arrival"/>
  </r>
  <r>
    <s v="Ngozi, Okeke"/>
    <s v="M03000056"/>
    <s v="N0000000056"/>
    <s v="Initial"/>
    <s v="F-1"/>
    <s v="Female"/>
    <s v="Project Management-MS"/>
    <s v="No"/>
    <s v="IPFW"/>
    <x v="0"/>
    <m/>
    <m/>
    <s v="Nigeria"/>
    <s v="Nigeria"/>
    <s v="Pre Arrival"/>
  </r>
  <r>
    <s v="Kwame, Mensah"/>
    <s v="M03000002"/>
    <s v="N0000000002"/>
    <s v="Initial"/>
    <s v="F-1"/>
    <s v="Male"/>
    <s v="International Affairs-MIA"/>
    <s v="Yes"/>
    <s v="No"/>
    <x v="1"/>
    <m/>
    <m/>
    <s v="Ghana"/>
    <s v="Ghana"/>
    <s v="Pre Arrival"/>
  </r>
  <r>
    <s v="Chebet, Mercy"/>
    <s v="M03000255"/>
    <s v="N0000000255"/>
    <s v="Initial"/>
    <s v="F-1"/>
    <s v="Female"/>
    <s v="Business Admin-MBA"/>
    <s v="No"/>
    <s v="MOGO"/>
    <x v="0"/>
    <m/>
    <m/>
    <s v="Kenya"/>
    <s v="Kenya"/>
    <s v="Pre Arrival"/>
  </r>
  <r>
    <s v="Otieno, Brian"/>
    <s v="M03000323"/>
    <s v="N0000000323"/>
    <s v="Initial"/>
    <s v="F-1"/>
    <s v="Male"/>
    <s v="Communication-MA"/>
    <s v="No"/>
    <s v="No"/>
    <x v="0"/>
    <m/>
    <m/>
    <s v="Kenya"/>
    <s v="Kenya"/>
    <s v="Pre Arrival"/>
  </r>
  <r>
    <s v="Chioma, Nwosu"/>
    <s v="M03000153"/>
    <s v="N0000000153"/>
    <s v="Initial"/>
    <s v="F-1"/>
    <s v="Female"/>
    <s v="Project Management-MS"/>
    <s v="Yes"/>
    <s v="No"/>
    <x v="0"/>
    <s v="Yes"/>
    <m/>
    <s v="Nigeria"/>
    <s v="Nigeria"/>
    <s v="Pre Arrival"/>
  </r>
  <r>
    <s v="Chebet, Mercy"/>
    <s v="M03000238"/>
    <s v="N0000000238"/>
    <s v="Initial"/>
    <s v="F-1"/>
    <s v="Female"/>
    <s v="Project Management-MS"/>
    <s v="No"/>
    <s v="IPFW"/>
    <x v="1"/>
    <m/>
    <m/>
    <s v="Kenya"/>
    <s v="Kenya"/>
    <s v="Pre Arrival"/>
  </r>
  <r>
    <s v="Lucia, Castro"/>
    <s v="M03000069"/>
    <s v="N0000000069"/>
    <s v="Initial"/>
    <s v="F-1"/>
    <s v="Female"/>
    <s v="Accountancy-MACC"/>
    <s v="No"/>
    <s v="No"/>
    <x v="0"/>
    <s v="Yes"/>
    <m/>
    <s v="Peru"/>
    <s v="Peru"/>
    <s v="Pre Arrival"/>
  </r>
  <r>
    <s v="Rafael, Souza"/>
    <s v="M03000360"/>
    <s v="N0000000360"/>
    <s v="Initial"/>
    <s v="F-1"/>
    <s v="Male"/>
    <s v="Project Management-MS"/>
    <s v="No"/>
    <s v="No"/>
    <x v="0"/>
    <s v="Yes"/>
    <m/>
    <s v="Brazil"/>
    <s v="Brazil"/>
    <s v="Pre Arrival"/>
  </r>
  <r>
    <s v="Yamamoto, Rina"/>
    <s v="M03000311"/>
    <s v="N0000000311"/>
    <s v="Initial"/>
    <s v="F-1"/>
    <s v="Female"/>
    <s v="Business Admin-MBA"/>
    <s v="No"/>
    <s v="No"/>
    <x v="0"/>
    <s v="Yes"/>
    <m/>
    <s v="Japan"/>
    <s v="Japan"/>
    <s v="Pre Arrival"/>
  </r>
  <r>
    <s v="Priya, Sharma"/>
    <s v="M03000220"/>
    <s v="N0000000220"/>
    <s v="Initial"/>
    <s v="F-1"/>
    <s v="Female"/>
    <s v="Computer Science-MS"/>
    <s v="No"/>
    <s v="MOGO"/>
    <x v="0"/>
    <s v="Yes"/>
    <m/>
    <s v="India"/>
    <s v="India"/>
    <s v="Pre Arrival"/>
  </r>
  <r>
    <s v="Atieno, Sharon"/>
    <s v="M03000209"/>
    <s v="N0000000209"/>
    <s v="Initial"/>
    <s v="F-1"/>
    <s v="Female"/>
    <s v="Business Admin-MBA"/>
    <s v="No"/>
    <s v="No"/>
    <x v="1"/>
    <m/>
    <m/>
    <s v="Kenya"/>
    <s v="Kenya"/>
    <s v="Pre Arrival"/>
  </r>
  <r>
    <s v="Njeri, Ann"/>
    <s v="M03000222"/>
    <s v="N0000000222"/>
    <s v="Initial"/>
    <s v="F-1"/>
    <s v="Female"/>
    <s v="Public Health-MPH"/>
    <s v="No"/>
    <s v="No"/>
    <x v="1"/>
    <m/>
    <m/>
    <s v="Kenya"/>
    <s v="Kenya"/>
    <s v="Pre Arrival"/>
  </r>
  <r>
    <s v="Jose, Quispe"/>
    <s v="M03000186"/>
    <s v="N0000000186"/>
    <s v="Initial"/>
    <s v="F-1"/>
    <s v="Male"/>
    <s v="Computer Science-MS"/>
    <s v="No"/>
    <s v="MOGO"/>
    <x v="1"/>
    <m/>
    <m/>
    <s v="Peru"/>
    <s v="Peru"/>
    <s v="Pre Arrival"/>
  </r>
  <r>
    <s v="Yamamoto, Rina"/>
    <s v="M03000144"/>
    <s v="N0000000144"/>
    <s v="Initial"/>
    <s v="F-1"/>
    <s v="Female"/>
    <s v="Project Management-MS"/>
    <s v="Yes"/>
    <s v="No"/>
    <x v="0"/>
    <m/>
    <m/>
    <s v="Japan"/>
    <s v="Japan"/>
    <s v="Pre Arrival"/>
  </r>
  <r>
    <s v="Ahmed, Saad"/>
    <s v="M03000033"/>
    <s v="N0000000033"/>
    <s v="Initial"/>
    <s v="F-1"/>
    <s v="Male"/>
    <s v="Business Admin-MBA"/>
    <s v="No"/>
    <s v="No"/>
    <x v="0"/>
    <s v="Yes"/>
    <m/>
    <s v="Pakistan"/>
    <s v="Pakistan"/>
    <s v="Pre Arrival"/>
  </r>
  <r>
    <s v="Kojo, Asante"/>
    <s v="M03000047"/>
    <s v="N0000000047"/>
    <s v="Initial"/>
    <s v="F-1"/>
    <s v="Male"/>
    <s v="English-MA"/>
    <s v="No"/>
    <s v="No"/>
    <x v="1"/>
    <m/>
    <m/>
    <s v="Ghana"/>
    <s v="Ghana"/>
    <s v="Pre Arrival"/>
  </r>
  <r>
    <s v="Emeka, Obi"/>
    <s v="M03000068"/>
    <s v="N0000000068"/>
    <s v="Initial"/>
    <s v="F-1"/>
    <s v="Male"/>
    <s v="Accountancy-MACC"/>
    <s v="No"/>
    <s v="No"/>
    <x v="1"/>
    <m/>
    <m/>
    <s v="Nigeria"/>
    <s v="Nigeria"/>
    <s v="Pre Arrival"/>
  </r>
  <r>
    <s v="Raj, Kumar"/>
    <s v="M03000182"/>
    <s v="N0000000182"/>
    <s v="Initial"/>
    <s v="F-1"/>
    <s v="Male"/>
    <s v="Project Management-MS"/>
    <s v="No"/>
    <s v="No"/>
    <x v="1"/>
    <m/>
    <m/>
    <s v="India"/>
    <s v="India"/>
    <s v="Pre Arrival"/>
  </r>
  <r>
    <s v="Chebet, Mercy"/>
    <s v="M03000172"/>
    <s v="N0000000172"/>
    <s v="Initial"/>
    <s v="F-1"/>
    <s v="Female"/>
    <s v="Computer Science-MS"/>
    <s v="No"/>
    <s v="No"/>
    <x v="0"/>
    <m/>
    <m/>
    <s v="Kenya"/>
    <s v="Kenya"/>
    <s v="Pre Arrival"/>
  </r>
  <r>
    <s v="Anita, Patel"/>
    <s v="M03000309"/>
    <s v="N0000000309"/>
    <s v="Initial"/>
    <s v="F-1"/>
    <s v="Female"/>
    <s v="Educational Technology-MSED"/>
    <s v="No"/>
    <s v="No"/>
    <x v="1"/>
    <m/>
    <m/>
    <s v="India"/>
    <s v="India"/>
    <s v="Pre Arrival"/>
  </r>
  <r>
    <s v="Hossain, Imran"/>
    <s v="M03000052"/>
    <s v="N0000000052"/>
    <s v="Initial"/>
    <s v="F-1"/>
    <s v="Male"/>
    <s v="Business Admin-MBA"/>
    <s v="No"/>
    <s v="MOGO"/>
    <x v="1"/>
    <m/>
    <m/>
    <s v="Bangladesh"/>
    <s v="Bangladesh"/>
    <s v="Pre Arrival"/>
  </r>
  <r>
    <s v="Pooja, Rani"/>
    <s v="M03000282"/>
    <s v="N0000000282"/>
    <s v="Initial"/>
    <s v="F-1"/>
    <s v="Female"/>
    <s v="Business Admin-MBA"/>
    <s v="No"/>
    <s v="No"/>
    <x v="1"/>
    <m/>
    <m/>
    <s v="India"/>
    <s v="India"/>
    <s v="Pre Arrival"/>
  </r>
  <r>
    <s v="Njeri, Ann"/>
    <s v="M03000149"/>
    <s v="N0000000149"/>
    <s v="Initial"/>
    <s v="F-1"/>
    <s v="Female"/>
    <s v="Computer Science-MS"/>
    <s v="No"/>
    <s v="MOGO"/>
    <x v="1"/>
    <m/>
    <m/>
    <s v="Kenya"/>
    <s v="Kenya"/>
    <s v="Pre Arrival"/>
  </r>
  <r>
    <s v="Akter, Farzana"/>
    <s v="M03000346"/>
    <s v="N0000000346"/>
    <s v="Initial"/>
    <s v="F-1"/>
    <s v="Female"/>
    <s v="Project Management-MS"/>
    <s v="No"/>
    <s v="No"/>
    <x v="1"/>
    <m/>
    <m/>
    <s v="Bangladesh"/>
    <s v="Bangladesh"/>
    <s v="Pre Arrival"/>
  </r>
  <r>
    <s v="Achieng, Grace"/>
    <s v="M03000167"/>
    <s v="N0000000167"/>
    <s v="Initial"/>
    <s v="F-1"/>
    <s v="Female"/>
    <s v="Educational Technology-MSED"/>
    <s v="No"/>
    <s v="MOGO"/>
    <x v="0"/>
    <m/>
    <m/>
    <s v="Kenya"/>
    <s v="Kenya"/>
    <s v="Pre Arrival"/>
  </r>
  <r>
    <s v="Ali, Nimra"/>
    <s v="M03000072"/>
    <s v="N0000000072"/>
    <s v="Initial"/>
    <s v="F-1"/>
    <s v="Female"/>
    <s v="Computer Science-MS"/>
    <s v="No"/>
    <s v="No"/>
    <x v="1"/>
    <m/>
    <m/>
    <s v="Pakistan"/>
    <s v="Pakistan"/>
    <s v="Pre Arrival"/>
  </r>
  <r>
    <s v="Mwangi, Joseph"/>
    <s v="M03000237"/>
    <s v="N0000000237"/>
    <s v="Initial"/>
    <s v="F-1"/>
    <s v="Male"/>
    <s v="International Affairs-MIA"/>
    <s v="No"/>
    <s v="MOGO"/>
    <x v="1"/>
    <m/>
    <m/>
    <s v="Kenya"/>
    <s v="Kenya"/>
    <s v="Pre Arrival"/>
  </r>
  <r>
    <s v="Anita, Patel"/>
    <s v="M03000055"/>
    <s v="N0000000055"/>
    <s v="Initial"/>
    <s v="F-1"/>
    <s v="Female"/>
    <s v="Business Admin-MBA"/>
    <s v="No"/>
    <s v="No"/>
    <x v="0"/>
    <s v="Yes"/>
    <m/>
    <s v="India"/>
    <s v="India"/>
    <s v="Pre Arrival"/>
  </r>
  <r>
    <s v="Funke, Ojo"/>
    <s v="M03000104"/>
    <s v="N0000000104"/>
    <s v="Initial"/>
    <s v="F-1"/>
    <s v="Female"/>
    <s v="Business Admin-MBA"/>
    <s v="No"/>
    <s v="No"/>
    <x v="1"/>
    <m/>
    <m/>
    <s v="Nigeria"/>
    <s v="Nigeria"/>
    <s v="Pre Arrival"/>
  </r>
  <r>
    <s v="Anil, Patel"/>
    <s v="M03000334"/>
    <s v="N0000000334"/>
    <s v="Initial"/>
    <s v="F-1"/>
    <s v="Male"/>
    <s v="Business Admin-MBA"/>
    <s v="No"/>
    <s v="No"/>
    <x v="1"/>
    <m/>
    <m/>
    <s v="India"/>
    <s v="India"/>
    <s v="Pre Arrival"/>
  </r>
  <r>
    <s v="Rahman, Hasan"/>
    <s v="M03000006"/>
    <s v="N0000000006"/>
    <s v="Initial"/>
    <s v="F-1"/>
    <s v="Male"/>
    <s v="Mathematics-MS"/>
    <s v="No"/>
    <s v="MOGO"/>
    <x v="1"/>
    <m/>
    <m/>
    <s v="Bangladesh"/>
    <s v="Bangladesh"/>
    <s v="Pre Arrival"/>
  </r>
  <r>
    <s v="Esi, Owusu"/>
    <s v="M03000263"/>
    <s v="N0000000263"/>
    <s v="Initial"/>
    <s v="F-1"/>
    <s v="Female"/>
    <s v="Business Admin-MBA"/>
    <s v="No"/>
    <s v="MOGO"/>
    <x v="1"/>
    <m/>
    <m/>
    <s v="Ghana"/>
    <s v="Ghana"/>
    <s v="Pre Arrival"/>
  </r>
  <r>
    <s v="Njeri, Ann"/>
    <s v="M03000177"/>
    <s v="N0000000177"/>
    <s v="Initial"/>
    <s v="F-1"/>
    <s v="Female"/>
    <s v="Business Admin-MBA"/>
    <s v="No"/>
    <s v="MOGO"/>
    <x v="1"/>
    <m/>
    <m/>
    <s v="Kenya"/>
    <s v="Kenya"/>
    <s v="Pre Arrival"/>
  </r>
  <r>
    <s v="Ifeanyi, Eze"/>
    <s v="M03000026"/>
    <s v="N0000000026"/>
    <s v="Initial"/>
    <s v="F-1"/>
    <s v="Male"/>
    <s v="Business Admin-MBA"/>
    <s v="No"/>
    <s v="No"/>
    <x v="0"/>
    <m/>
    <m/>
    <s v="Nigeria"/>
    <s v="Nigeria"/>
    <s v="Pre Arrival"/>
  </r>
  <r>
    <s v="Atieno, Sharon"/>
    <s v="M03000134"/>
    <s v="N0000000134"/>
    <s v="Initial"/>
    <s v="F-1"/>
    <s v="Female"/>
    <s v="Business Admin-MBA"/>
    <s v="No"/>
    <s v="No"/>
    <x v="1"/>
    <m/>
    <m/>
    <s v="Kenya"/>
    <s v="Kenya"/>
    <s v="Pre Arrival"/>
  </r>
  <r>
    <s v="Akua, Addo"/>
    <s v="M03000181"/>
    <s v="N0000000181"/>
    <s v="Initial"/>
    <s v="F-1"/>
    <s v="Female"/>
    <s v="Project Management-MS"/>
    <s v="Yes"/>
    <s v="No"/>
    <x v="1"/>
    <m/>
    <m/>
    <s v="Ghana"/>
    <s v="Ghana"/>
    <s v="Pre Arrival"/>
  </r>
  <r>
    <s v="Mwangi, Joseph"/>
    <s v="M03000122"/>
    <s v="N0000000122"/>
    <s v="Initial"/>
    <s v="F-1"/>
    <s v="Male"/>
    <s v="Project Managemnt-Accelrted-MS"/>
    <s v="No"/>
    <s v="MOGO"/>
    <x v="1"/>
    <m/>
    <m/>
    <s v="Kenya"/>
    <s v="Kenya"/>
    <s v="Pre Arrival"/>
  </r>
  <r>
    <s v="Funke, Ojo"/>
    <s v="M03000229"/>
    <s v="N0000000229"/>
    <s v="Initial"/>
    <s v="F-1"/>
    <s v="Female"/>
    <s v="Music, Master of-MM"/>
    <s v="No"/>
    <s v="No"/>
    <x v="1"/>
    <m/>
    <m/>
    <s v="Nigeria"/>
    <s v="Nigeria"/>
    <s v="Pre Arrival"/>
  </r>
  <r>
    <s v="Anita, Patel"/>
    <s v="M03000084"/>
    <s v="N0000000084"/>
    <s v="Initial"/>
    <s v="F-1"/>
    <s v="Female"/>
    <s v="Public Health-MPH"/>
    <s v="No"/>
    <s v="No"/>
    <x v="1"/>
    <m/>
    <m/>
    <s v="India"/>
    <s v="India"/>
    <s v="Pre Arrival"/>
  </r>
  <r>
    <s v="Olu, Adewale"/>
    <s v="M03000230"/>
    <s v="N0000000230"/>
    <s v="Initial"/>
    <s v="F-1"/>
    <s v="Male"/>
    <s v="Public Health-MPH"/>
    <s v="No"/>
    <s v="No"/>
    <x v="1"/>
    <m/>
    <m/>
    <s v="Nigeria"/>
    <s v="Nigeria"/>
    <s v="Pre Arrival"/>
  </r>
  <r>
    <s v="Rahman, Hasan"/>
    <s v="M03000208"/>
    <s v="N0000000208"/>
    <s v="Initial"/>
    <s v="F-1"/>
    <s v="Male"/>
    <s v="Computer Science-MS"/>
    <s v="No"/>
    <s v="No"/>
    <x v="0"/>
    <m/>
    <m/>
    <s v="Bangladesh"/>
    <s v="Bangladesh"/>
    <s v="Pre Arrival"/>
  </r>
  <r>
    <s v="Putra, Andi"/>
    <s v="M03000322"/>
    <s v="N0000000322"/>
    <s v="Initial"/>
    <s v="F-1"/>
    <s v="Male"/>
    <s v="Business Admin-MBA"/>
    <s v="Yes"/>
    <s v="No"/>
    <x v="0"/>
    <s v="Yes"/>
    <m/>
    <s v="Indonesia"/>
    <s v="Indonesia"/>
    <s v="Pre Arrival"/>
  </r>
  <r>
    <s v="Wanjiru, Mary"/>
    <s v="M03000155"/>
    <s v="N0000000155"/>
    <s v="Initial"/>
    <s v="F-1"/>
    <s v="Female"/>
    <s v="Computer Science-MS"/>
    <s v="No"/>
    <s v="No"/>
    <x v="1"/>
    <m/>
    <m/>
    <s v="Kenya"/>
    <s v="Kenya"/>
    <s v="Pre Arrival"/>
  </r>
  <r>
    <s v="Atieno, Sharon"/>
    <s v="M03000225"/>
    <s v="N0000000225"/>
    <s v="Initial"/>
    <s v="F-1"/>
    <s v="Female"/>
    <s v="Computer Science-MS"/>
    <s v="No"/>
    <s v="No"/>
    <x v="1"/>
    <m/>
    <m/>
    <s v="Kenya"/>
    <s v="Kenya"/>
    <s v="Pre Arrival"/>
  </r>
  <r>
    <s v="Akua, Addo"/>
    <s v="M03000021"/>
    <s v="N0000000021"/>
    <s v="Initial"/>
    <s v="F-1"/>
    <s v="Female"/>
    <s v="Project Management-MS"/>
    <s v="No"/>
    <s v="IPFW"/>
    <x v="1"/>
    <m/>
    <m/>
    <s v="Ghana"/>
    <s v="Ghana"/>
    <s v="Pre Arrival"/>
  </r>
  <r>
    <s v="Wanjiru, Mary"/>
    <s v="M03000168"/>
    <s v="N0000000168"/>
    <s v="Initial"/>
    <s v="F-1"/>
    <s v="Female"/>
    <s v="Educational Technology-MSED"/>
    <s v="No"/>
    <s v="No"/>
    <x v="0"/>
    <m/>
    <m/>
    <s v="Kenya"/>
    <s v="Kenya"/>
    <s v="Pre Arrival"/>
  </r>
  <r>
    <s v="Karki, Dipesh"/>
    <s v="M03000345"/>
    <s v="N0000000345"/>
    <s v="Initial"/>
    <s v="F-1"/>
    <s v="Male"/>
    <s v="Kinesiology-MS"/>
    <s v="No"/>
    <s v="No"/>
    <x v="1"/>
    <m/>
    <m/>
    <s v="Nepal"/>
    <s v="Nepal"/>
    <s v="Pre Arrival"/>
  </r>
  <r>
    <s v="Yaw, Owusu"/>
    <s v="M03000241"/>
    <s v="N0000000241"/>
    <s v="Initial"/>
    <s v="F-1"/>
    <s v="Male"/>
    <s v="Professional Studies-MPS"/>
    <s v="No"/>
    <s v="No"/>
    <x v="1"/>
    <m/>
    <m/>
    <s v="Ghana"/>
    <s v="Ghana"/>
    <s v="Pre Arrival"/>
  </r>
  <r>
    <s v="Amaka, Obi"/>
    <s v="M03000107"/>
    <s v="N0000000107"/>
    <s v="Initial"/>
    <s v="F-1"/>
    <s v="Female"/>
    <s v="Project Management-MS"/>
    <s v="No"/>
    <s v="No"/>
    <x v="1"/>
    <m/>
    <m/>
    <s v="Nigeria"/>
    <s v="Nigeria"/>
    <s v="Pre Arrival"/>
  </r>
  <r>
    <s v="Akter, Farzana"/>
    <s v="M03000297"/>
    <s v="N0000000297"/>
    <s v="Initial"/>
    <s v="F-1"/>
    <s v="Female"/>
    <s v="Business Admin-MBA"/>
    <s v="No"/>
    <s v="No"/>
    <x v="1"/>
    <m/>
    <m/>
    <s v="Bangladesh"/>
    <s v="Bangladesh"/>
    <s v="Pre Arrival"/>
  </r>
  <r>
    <s v="Pooja, Rani"/>
    <s v="M03000285"/>
    <s v="N0000000285"/>
    <s v="Initial"/>
    <s v="F-1"/>
    <s v="Female"/>
    <s v="Computer Science-MS"/>
    <s v="No"/>
    <s v="No"/>
    <x v="1"/>
    <m/>
    <m/>
    <s v="India"/>
    <s v="India"/>
    <s v="Pre Arrival"/>
  </r>
  <r>
    <s v="Achieng, Grace"/>
    <s v="M03000227"/>
    <s v="N0000000227"/>
    <s v="Initial"/>
    <s v="F-1"/>
    <s v="Female"/>
    <s v="Business Admin-MBA"/>
    <s v="No"/>
    <s v="No"/>
    <x v="0"/>
    <m/>
    <m/>
    <s v="Kenya"/>
    <s v="Kenya"/>
    <s v="Pre Arrival"/>
  </r>
  <r>
    <s v="Pooja, Rani"/>
    <s v="M03000268"/>
    <s v="N0000000268"/>
    <s v="Initial"/>
    <s v="F-1"/>
    <s v="Female"/>
    <s v="Business Admin-MBA"/>
    <s v="No"/>
    <s v="No"/>
    <x v="1"/>
    <m/>
    <m/>
    <s v="India"/>
    <s v="India"/>
    <s v="Pre Arrival"/>
  </r>
  <r>
    <s v="Ifeanyi, Eze"/>
    <s v="M03000009"/>
    <s v="N0000000009"/>
    <s v="Initial"/>
    <s v="F-1"/>
    <s v="Male"/>
    <s v="Business Admin-MBA"/>
    <s v="No"/>
    <s v="No"/>
    <x v="0"/>
    <s v="Yes"/>
    <s v="Transfer-Out"/>
    <s v="Nigeria"/>
    <s v="Nigeria"/>
    <s v="Pre Arrival"/>
  </r>
  <r>
    <s v="Olu, Adewale"/>
    <s v="M03000185"/>
    <s v="N0000000185"/>
    <s v="Initial"/>
    <s v="F-1"/>
    <s v="Male"/>
    <s v="Mathematics-MS"/>
    <s v="No"/>
    <s v="No"/>
    <x v="0"/>
    <m/>
    <s v="Deferred SP26"/>
    <s v="Nigeria"/>
    <s v="Nigeria"/>
    <s v="Pre Arrival"/>
  </r>
  <r>
    <s v="Kwame, Mensah"/>
    <s v="M03000245"/>
    <s v="N0000000245"/>
    <s v="Initial"/>
    <s v="F-1"/>
    <s v="Male"/>
    <s v="Educational Technology-MSED"/>
    <s v="Yes"/>
    <s v="No"/>
    <x v="0"/>
    <s v="Yes"/>
    <m/>
    <s v="Ghana"/>
    <s v="Ghana"/>
    <s v="Pre Arrival"/>
  </r>
  <r>
    <s v="Gurung, Suresh"/>
    <s v="M03000008"/>
    <s v="N0000000008"/>
    <s v="Initial"/>
    <s v="F-1"/>
    <s v="Male"/>
    <s v="Materials Science-MS"/>
    <s v="No"/>
    <s v="MOGO"/>
    <x v="1"/>
    <s v="7/28/2025 12:00:00 AM"/>
    <m/>
    <s v="Nepal"/>
    <s v="Nepal"/>
    <s v="Pre Arrival"/>
  </r>
  <r>
    <s v="Shrestha, Anju"/>
    <s v="M03000281"/>
    <s v="N0000000281"/>
    <s v="Initial"/>
    <s v="F-1"/>
    <s v="Female"/>
    <s v="Materials Science-MS"/>
    <s v="No"/>
    <s v="No"/>
    <x v="1"/>
    <m/>
    <m/>
    <s v="Nepal"/>
    <s v="Nepal"/>
    <s v="Pre Arrival"/>
  </r>
  <r>
    <s v="Sultana, Nusrat"/>
    <s v="M03000081"/>
    <s v="N0000000081"/>
    <s v="Initial"/>
    <s v="F-1"/>
    <s v="Female"/>
    <s v="Information Technology-MS"/>
    <s v="No"/>
    <s v="No"/>
    <x v="1"/>
    <m/>
    <m/>
    <s v="Bangladesh"/>
    <s v="Bangladesh"/>
    <s v="Pre Arrival"/>
  </r>
  <r>
    <s v="Chinedu, Okafor"/>
    <s v="M03000233"/>
    <s v="N0000000233"/>
    <s v="Initial"/>
    <s v="F-1"/>
    <s v="Male"/>
    <s v="Kinesiology-MS"/>
    <s v="No"/>
    <s v="No"/>
    <x v="0"/>
    <m/>
    <m/>
    <s v="Nigeria"/>
    <s v="Nigeria"/>
    <s v="Pre Arrival"/>
  </r>
  <r>
    <s v="Wanjiru, Mary"/>
    <s v="M03000083"/>
    <s v="N0000000083"/>
    <s v="Initial"/>
    <s v="F-1"/>
    <s v="Female"/>
    <s v="English-MA"/>
    <s v="No"/>
    <s v="MOGO"/>
    <x v="0"/>
    <m/>
    <m/>
    <s v="Kenya"/>
    <s v="Kenya"/>
    <s v="Pre Arrival"/>
  </r>
  <r>
    <s v="Amit, Sharma"/>
    <s v="M03000203"/>
    <s v="N0000000203"/>
    <s v="Initial"/>
    <s v="F-1"/>
    <s v="Male"/>
    <s v="Computer Science-MS"/>
    <s v="No"/>
    <s v="No"/>
    <x v="0"/>
    <s v="Yes"/>
    <s v="Enrolled"/>
    <s v="India"/>
    <s v="India"/>
    <s v="Pre Arrival"/>
  </r>
  <r>
    <s v="Chebet, Mercy"/>
    <s v="M03000259"/>
    <s v="N0000000259"/>
    <s v="Initial"/>
    <s v="F-1"/>
    <s v="Female"/>
    <s v="Computer Science-MS"/>
    <s v="Yes"/>
    <s v="No"/>
    <x v="1"/>
    <m/>
    <m/>
    <s v="Kenya"/>
    <s v="Kenya"/>
    <s v="Pre Arrival"/>
  </r>
  <r>
    <s v="Esi, Owusu"/>
    <s v="M03000261"/>
    <s v="N0000000261"/>
    <s v="Initial"/>
    <s v="F-1"/>
    <s v="Female"/>
    <s v="Public Health-MPH"/>
    <s v="No"/>
    <s v="No"/>
    <x v="1"/>
    <m/>
    <m/>
    <s v="Ghana"/>
    <s v="Ghana"/>
    <s v="Pre Arrival"/>
  </r>
  <r>
    <s v="Kamau, Peter"/>
    <s v="M03000034"/>
    <s v="N0000000034"/>
    <s v="Initial"/>
    <s v="F-1"/>
    <s v="Male"/>
    <s v="Computer Science-MS"/>
    <s v="No"/>
    <s v="No"/>
    <x v="1"/>
    <m/>
    <m/>
    <s v="Kenya"/>
    <s v="Kenya"/>
    <s v="Pre Arrival"/>
  </r>
  <r>
    <s v="Kwame, Mensah"/>
    <s v="M03000053"/>
    <s v="N0000000053"/>
    <s v="Initial"/>
    <s v="F-1"/>
    <s v="Male"/>
    <s v="Project Management-MS"/>
    <s v="No"/>
    <s v="MOGO"/>
    <x v="1"/>
    <m/>
    <m/>
    <s v="Ghana"/>
    <s v="Ghana"/>
    <s v="Pre Arrival"/>
  </r>
  <r>
    <s v="Tunde, Balogun"/>
    <s v="M03000140"/>
    <s v="N0000000140"/>
    <s v="Initial"/>
    <s v="F-1"/>
    <s v="Male"/>
    <s v="Visual Studies-MFA"/>
    <s v="No"/>
    <s v="No"/>
    <x v="1"/>
    <m/>
    <m/>
    <s v="Nigeria"/>
    <s v="Nigeria"/>
    <s v="Pre Arrival"/>
  </r>
  <r>
    <s v="Ahmed, Karim"/>
    <s v="M03000063"/>
    <s v="N0000000063"/>
    <s v="Initial"/>
    <s v="F-1"/>
    <s v="Male"/>
    <s v="Project Management-MS"/>
    <s v="Yes"/>
    <s v="No"/>
    <x v="0"/>
    <s v="Yes"/>
    <m/>
    <s v="Bangladesh"/>
    <s v="Bangladesh"/>
    <s v="Pre Arrival"/>
  </r>
  <r>
    <s v="Islam, Tania"/>
    <s v="M03000302"/>
    <s v="N0000000302"/>
    <s v="Initial"/>
    <s v="F-1"/>
    <s v="Female"/>
    <s v="Gry and Glg/Geospatial-MS"/>
    <s v="No"/>
    <s v="No"/>
    <x v="1"/>
    <m/>
    <m/>
    <s v="Bangladesh"/>
    <s v="Bangladesh"/>
    <s v="Pre Arrival"/>
  </r>
  <r>
    <s v="Rahman, Fatima"/>
    <s v="M03000215"/>
    <s v="N0000000215"/>
    <s v="Initial"/>
    <s v="F-1"/>
    <s v="Female"/>
    <s v="Chemistry-MS"/>
    <s v="No"/>
    <s v="No"/>
    <x v="1"/>
    <m/>
    <m/>
    <s v="Bangladesh"/>
    <s v="Bangladesh"/>
    <s v="Pre Arrival"/>
  </r>
  <r>
    <s v="Karimi, Neda"/>
    <s v="M03000166"/>
    <s v="N0000000166"/>
    <s v="Initial"/>
    <s v="F-1"/>
    <s v="Female"/>
    <s v="Accountancy-MACC"/>
    <s v="No"/>
    <s v="No"/>
    <x v="1"/>
    <m/>
    <m/>
    <s v="Iran"/>
    <s v="Iran"/>
    <s v="Pre Arrival"/>
  </r>
  <r>
    <s v="Islam, Tania"/>
    <s v="M03000299"/>
    <s v="N0000000299"/>
    <s v="Initial"/>
    <s v="F-1"/>
    <s v="Female"/>
    <s v="Computer Science-MS"/>
    <s v="Yes"/>
    <s v="No"/>
    <x v="0"/>
    <m/>
    <m/>
    <s v="Bangladesh"/>
    <s v="Bangladesh"/>
    <s v="Pre Arrival"/>
  </r>
  <r>
    <s v="Tunde, Balogun"/>
    <s v="M03000014"/>
    <s v="N0000000014"/>
    <s v="Initial"/>
    <s v="F-1"/>
    <s v="Male"/>
    <s v="Computer Science-MS"/>
    <s v="No"/>
    <s v="IPFW"/>
    <x v="1"/>
    <m/>
    <m/>
    <s v="Nigeria"/>
    <s v="Nigeria"/>
    <s v="Pre Arrival"/>
  </r>
  <r>
    <s v="Priya, Sharma"/>
    <s v="M03000223"/>
    <s v="N0000000223"/>
    <s v="Initial"/>
    <s v="F-1"/>
    <s v="Female"/>
    <s v="Project Management-MS"/>
    <s v="No"/>
    <s v="No"/>
    <x v="1"/>
    <m/>
    <m/>
    <s v="India"/>
    <s v="India"/>
    <s v="Pre Arrival"/>
  </r>
  <r>
    <s v="Chioma, Nwosu"/>
    <s v="M03000235"/>
    <s v="N0000000235"/>
    <s v="Initial"/>
    <s v="F-1"/>
    <s v="Female"/>
    <s v="Project Management-MS"/>
    <s v="No"/>
    <s v="No"/>
    <x v="1"/>
    <m/>
    <m/>
    <s v="Nigeria"/>
    <s v="Nigeria"/>
    <s v="Pre Arrival"/>
  </r>
  <r>
    <s v="Begum, Aisha"/>
    <s v="M03000194"/>
    <s v="N0000000194"/>
    <s v="Initial"/>
    <s v="F-1"/>
    <s v="Female"/>
    <s v="Accountancy-MACC"/>
    <s v="No"/>
    <s v="No"/>
    <x v="1"/>
    <m/>
    <m/>
    <s v="Bangladesh"/>
    <s v="Bangladesh"/>
    <s v="Pre Arrival"/>
  </r>
  <r>
    <s v="Ngozi, Okeke"/>
    <s v="M03000354"/>
    <s v="N0000000354"/>
    <s v="Initial"/>
    <s v="F-1"/>
    <s v="Female"/>
    <s v="Computer Science-MS"/>
    <s v="No"/>
    <s v="MOGO"/>
    <x v="0"/>
    <m/>
    <m/>
    <s v="Nigeria"/>
    <s v="Nigeria"/>
    <s v="Pre Arrival"/>
  </r>
  <r>
    <s v="Amaka, Obi"/>
    <s v="M03000101"/>
    <s v="N0000000101"/>
    <s v="Initial"/>
    <s v="F-1"/>
    <s v="Female"/>
    <s v="Computer Science-MS"/>
    <s v="No"/>
    <s v="No"/>
    <x v="0"/>
    <m/>
    <m/>
    <s v="Nigeria"/>
    <s v="Nigeria"/>
    <s v="Pre Arrival"/>
  </r>
  <r>
    <s v="Atieno, Sharon"/>
    <s v="M03000300"/>
    <s v="N0000000300"/>
    <s v="Initial"/>
    <s v="F-1"/>
    <s v="Female"/>
    <s v="Project Management-MS"/>
    <s v="No"/>
    <s v="MOGO"/>
    <x v="1"/>
    <m/>
    <m/>
    <s v="Kenya"/>
    <s v="Kenya"/>
    <s v="Pre Arrival"/>
  </r>
  <r>
    <s v="Priya, Sharma"/>
    <s v="M03000273"/>
    <s v="N0000000273"/>
    <s v="Initial"/>
    <s v="F-1"/>
    <s v="Female"/>
    <s v="Accountancy-MACC"/>
    <s v="No"/>
    <s v="No"/>
    <x v="0"/>
    <m/>
    <m/>
    <s v="India"/>
    <s v="India"/>
    <s v="Pre Arrival"/>
  </r>
  <r>
    <s v="Ali, Nayeem"/>
    <s v="M03000136"/>
    <s v="N0000000136"/>
    <s v="Initial"/>
    <s v="F-1"/>
    <s v="Male"/>
    <s v="Project Management-MS"/>
    <s v="No"/>
    <s v="MOGO"/>
    <x v="0"/>
    <m/>
    <m/>
    <s v="Bangladesh"/>
    <s v="Bangladesh"/>
    <s v="Pre Arrival"/>
  </r>
  <r>
    <s v="Raj, Kumar"/>
    <s v="M03000315"/>
    <s v="N0000000315"/>
    <s v="Initial"/>
    <s v="F-1"/>
    <s v="Male"/>
    <s v="Music, Master of-MM"/>
    <s v="No"/>
    <s v="MOGO"/>
    <x v="0"/>
    <m/>
    <s v="Emailed for Update"/>
    <s v="India"/>
    <s v="India"/>
    <s v="Pre Arrival"/>
  </r>
  <r>
    <s v="Khan, Hamza"/>
    <s v="M03000337"/>
    <s v="N0000000337"/>
    <s v="Initial"/>
    <s v="F-1"/>
    <s v="Male"/>
    <s v="Business Admin-MBA"/>
    <s v="No"/>
    <s v="No"/>
    <x v="0"/>
    <m/>
    <m/>
    <s v="Pakistan"/>
    <s v="Pakistan"/>
    <s v="Pre Arrival"/>
  </r>
  <r>
    <s v="Pooja, Rani"/>
    <s v="M03000204"/>
    <s v="N0000000204"/>
    <s v="Initial"/>
    <s v="F-1"/>
    <s v="Female"/>
    <s v="Computer Science-MS"/>
    <s v="No"/>
    <s v="No"/>
    <x v="1"/>
    <m/>
    <m/>
    <s v="India"/>
    <s v="India"/>
    <s v="Pre Arrival"/>
  </r>
  <r>
    <s v="Rahman, Fatima"/>
    <s v="M03000141"/>
    <s v="N0000000141"/>
    <s v="Initial"/>
    <s v="F-1"/>
    <s v="Female"/>
    <s v="Communication-MA"/>
    <s v="No"/>
    <s v="MOGO"/>
    <x v="0"/>
    <s v="Yes"/>
    <m/>
    <s v="Bangladesh"/>
    <s v="Bangladesh"/>
    <s v="Pre Arrival"/>
  </r>
  <r>
    <s v="Funke, Ojo"/>
    <s v="M03000045"/>
    <s v="N0000000045"/>
    <s v="Initial"/>
    <s v="F-1"/>
    <s v="Female"/>
    <s v="Appld Secnd Lang Acquisn-MASLA"/>
    <s v="No"/>
    <s v="No"/>
    <x v="1"/>
    <m/>
    <m/>
    <s v="Nigeria"/>
    <s v="Nigeria"/>
    <s v="Pre Arrival"/>
  </r>
  <r>
    <s v="Ifeanyi, Eze"/>
    <s v="M03000243"/>
    <s v="N0000000243"/>
    <s v="Initial"/>
    <s v="F-1"/>
    <s v="Male"/>
    <s v="Business Admin-MBA"/>
    <s v="No"/>
    <s v="No"/>
    <x v="1"/>
    <m/>
    <m/>
    <s v="Nigeria"/>
    <s v="Nigeria"/>
    <s v="Pre Arrival"/>
  </r>
  <r>
    <s v="Karki, Dipesh"/>
    <s v="M03000317"/>
    <s v="N0000000317"/>
    <s v="Initial"/>
    <s v="F-1"/>
    <s v="Male"/>
    <s v="Business Admin-MBA"/>
    <s v="No"/>
    <s v="No"/>
    <x v="1"/>
    <m/>
    <m/>
    <s v="Nepal"/>
    <s v="Nepal"/>
    <s v="Pre Arrival"/>
  </r>
  <r>
    <s v="Achieng, Grace"/>
    <s v="M03000318"/>
    <s v="N0000000318"/>
    <s v="Initial"/>
    <s v="F-1"/>
    <s v="Female"/>
    <s v="Business Admin-MBA"/>
    <s v="Yes"/>
    <s v="No"/>
    <x v="0"/>
    <s v="Yes"/>
    <m/>
    <s v="Kenya"/>
    <s v="Kenya"/>
    <s v="Pre Arrival"/>
  </r>
  <r>
    <s v="Otieno, Brian"/>
    <s v="M03000162"/>
    <s v="N0000000162"/>
    <s v="Initial"/>
    <s v="F-1"/>
    <s v="Male"/>
    <s v="Project Management-MS"/>
    <s v="No"/>
    <s v="No"/>
    <x v="1"/>
    <m/>
    <m/>
    <s v="Kenya"/>
    <s v="Kenya"/>
    <s v="Pre Arrival"/>
  </r>
  <r>
    <s v="Pooja, Rani"/>
    <s v="M03000113"/>
    <s v="N0000000113"/>
    <s v="Initial"/>
    <s v="F-1"/>
    <s v="Female"/>
    <s v="Project Management-MS"/>
    <s v="No"/>
    <s v="No"/>
    <x v="1"/>
    <m/>
    <m/>
    <s v="India"/>
    <s v="India"/>
    <s v="Pre Arrival"/>
  </r>
  <r>
    <s v="Njeri, Ann"/>
    <s v="M03000145"/>
    <s v="N0000000145"/>
    <s v="Initial"/>
    <s v="F-1"/>
    <s v="Female"/>
    <s v="Computer Science-MS"/>
    <s v="No"/>
    <s v="No"/>
    <x v="1"/>
    <m/>
    <m/>
    <s v="Kenya"/>
    <s v="Kenya"/>
    <s v="Pre Arrival"/>
  </r>
  <r>
    <s v="Gurung, Suresh"/>
    <s v="M03000189"/>
    <s v="N0000000189"/>
    <s v="Initial"/>
    <s v="F-1"/>
    <s v="Male"/>
    <s v="Computer Science-MS"/>
    <s v="No"/>
    <s v="No"/>
    <x v="0"/>
    <s v="Yes"/>
    <s v="Enrolled"/>
    <s v="Nepal"/>
    <s v="Nepal"/>
    <s v="Pre Arrival"/>
  </r>
  <r>
    <s v="Thapa, Manoj"/>
    <s v="M03000123"/>
    <s v="N0000000123"/>
    <s v="Initial"/>
    <s v="F-1"/>
    <s v="Male"/>
    <s v="Computer Science-MS"/>
    <s v="No"/>
    <s v="MOGO"/>
    <x v="0"/>
    <s v="Yes"/>
    <s v="Enrolled"/>
    <s v="Nepal"/>
    <s v="Nepal"/>
    <s v="Pre Arrival"/>
  </r>
  <r>
    <s v="Othman, Imran"/>
    <s v="M03000087"/>
    <s v="N0000000087"/>
    <s v="Initial"/>
    <s v="F-1"/>
    <s v="Male"/>
    <s v="Public Health-MPH"/>
    <s v="Yes"/>
    <s v="MOGO"/>
    <x v="0"/>
    <s v="Yes"/>
    <m/>
    <s v="Malaysia"/>
    <s v="Malaysia"/>
    <s v="Pre Arrival"/>
  </r>
  <r>
    <s v="Yetunde, Adeyemi"/>
    <s v="M03000236"/>
    <s v="N0000000236"/>
    <s v="Initial"/>
    <s v="F-1"/>
    <s v="Female"/>
    <s v="Computer Science-MS"/>
    <s v="No"/>
    <s v="No"/>
    <x v="0"/>
    <m/>
    <m/>
    <s v="Nigeria"/>
    <s v="Nigeria"/>
    <s v="Pre Arrival"/>
  </r>
  <r>
    <s v="Funke, Ojo"/>
    <s v="M03000103"/>
    <s v="N0000000103"/>
    <s v="Initial"/>
    <s v="F-1"/>
    <s v="Female"/>
    <s v="Business Admin-MBA"/>
    <s v="No"/>
    <s v="No"/>
    <x v="1"/>
    <m/>
    <m/>
    <s v="Nigeria"/>
    <s v="Nigeria"/>
    <s v="Pre Arrival"/>
  </r>
  <r>
    <s v="Tunde, Balogun"/>
    <s v="M03000012"/>
    <s v="N0000000012"/>
    <s v="Initial"/>
    <s v="F-1"/>
    <s v="Male"/>
    <s v="International Affairs-MIA"/>
    <s v="No"/>
    <s v="No"/>
    <x v="1"/>
    <m/>
    <m/>
    <s v="Nigeria"/>
    <s v="Nigeria"/>
    <s v="Pre Arrival"/>
  </r>
  <r>
    <s v="Funke, Ojo"/>
    <s v="M03000242"/>
    <s v="N0000000242"/>
    <s v="Initial"/>
    <s v="F-1"/>
    <s v="Female"/>
    <s v="Educational Technology-MSED"/>
    <s v="No"/>
    <s v="No"/>
    <x v="1"/>
    <m/>
    <m/>
    <s v="Nigeria"/>
    <s v="Nigeria"/>
    <s v="Pre Arrival"/>
  </r>
  <r>
    <s v="Lee, Jiwon"/>
    <s v="M03000188"/>
    <s v="N0000000188"/>
    <s v="Initial"/>
    <s v="F-1"/>
    <s v="Female"/>
    <s v="Business Admin-MBA"/>
    <s v="Yes"/>
    <s v="No"/>
    <x v="0"/>
    <s v="Yes"/>
    <m/>
    <s v="South Korea"/>
    <s v="South Korea"/>
    <s v="Pre Arrival"/>
  </r>
  <r>
    <s v="Chebet, Mercy"/>
    <s v="M03000191"/>
    <s v="N0000000191"/>
    <s v="Initial"/>
    <s v="F-1"/>
    <s v="Female"/>
    <s v="Computer Science-MS"/>
    <s v="No"/>
    <s v="No"/>
    <x v="0"/>
    <m/>
    <m/>
    <s v="Kenya"/>
    <s v="Kenya"/>
    <s v="Pre Arrival"/>
  </r>
  <r>
    <s v="Raj, Kumar"/>
    <s v="M03000350"/>
    <s v="N0000000350"/>
    <s v="Initial"/>
    <s v="F-1"/>
    <s v="Male"/>
    <s v="Business Admin-MBA"/>
    <s v="No"/>
    <s v="No"/>
    <x v="1"/>
    <m/>
    <m/>
    <s v="India"/>
    <s v="India"/>
    <s v="Pre Arrival"/>
  </r>
  <r>
    <s v="Amit, Sharma"/>
    <s v="M03000080"/>
    <s v="N0000000080"/>
    <s v="Initial"/>
    <s v="F-1"/>
    <s v="Male"/>
    <s v="Public Health-MPH"/>
    <s v="No"/>
    <s v="No"/>
    <x v="1"/>
    <m/>
    <m/>
    <s v="India"/>
    <s v="India"/>
    <s v="Pre Arrival"/>
  </r>
  <r>
    <s v="Amaka, Obi"/>
    <s v="M03000286"/>
    <s v="N0000000286"/>
    <s v="Initial"/>
    <s v="F-1"/>
    <s v="Female"/>
    <s v="Professional Studies-MPS"/>
    <s v="No"/>
    <s v="No"/>
    <x v="0"/>
    <m/>
    <m/>
    <s v="Nigeria"/>
    <s v="Nigeria"/>
    <s v="Pre Arrival"/>
  </r>
  <r>
    <s v="Kiptoo, Daniel"/>
    <s v="M03000211"/>
    <s v="N0000000211"/>
    <s v="Initial"/>
    <s v="F-1"/>
    <s v="Male"/>
    <s v="Materials Science-MS"/>
    <s v="No"/>
    <s v="No"/>
    <x v="1"/>
    <m/>
    <m/>
    <s v="Kenya"/>
    <s v="Kenya"/>
    <s v="Pre Arrival"/>
  </r>
  <r>
    <s v="Ali, Nayeem"/>
    <s v="M03000221"/>
    <s v="N0000000221"/>
    <s v="Initial"/>
    <s v="F-1"/>
    <s v="Male"/>
    <s v="Mathematics-MS"/>
    <s v="No"/>
    <s v="No"/>
    <x v="1"/>
    <m/>
    <m/>
    <s v="Bangladesh"/>
    <s v="Bangladesh"/>
    <s v="Pre Arrival"/>
  </r>
  <r>
    <s v="Adwoa, Serwaa"/>
    <s v="M03000129"/>
    <s v="N0000000129"/>
    <s v="Initial"/>
    <s v="F-1"/>
    <s v="Female"/>
    <s v="Computer Science-MS"/>
    <s v="No"/>
    <s v="MOGO"/>
    <x v="1"/>
    <m/>
    <m/>
    <s v="Ghana"/>
    <s v="Ghana"/>
    <s v="Pre Arrival"/>
  </r>
  <r>
    <s v="Hossain, Imran"/>
    <s v="M03000161"/>
    <s v="N0000000161"/>
    <s v="Initial"/>
    <s v="F-1"/>
    <s v="Male"/>
    <s v="Counseling/Clin Mental Hlth-MS"/>
    <s v="Yes"/>
    <s v="No"/>
    <x v="1"/>
    <m/>
    <m/>
    <s v="Bangladesh"/>
    <s v="Bangladesh"/>
    <s v="Pre Arrival"/>
  </r>
  <r>
    <s v="Chinedu, Okafor"/>
    <s v="M03000247"/>
    <s v="N0000000247"/>
    <s v="Initial"/>
    <s v="F-1"/>
    <s v="Male"/>
    <s v="Special Ed/Autism Spectrm-MSED"/>
    <s v="No"/>
    <s v="No"/>
    <x v="1"/>
    <m/>
    <m/>
    <s v="Nigeria"/>
    <s v="Nigeria"/>
    <s v="Pre Arrival"/>
  </r>
  <r>
    <s v="Jammeh, Mariama"/>
    <s v="M03000152"/>
    <s v="N0000000152"/>
    <s v="Initial"/>
    <s v="F-1"/>
    <s v="Female"/>
    <s v="Business Admin-MBA"/>
    <s v="No"/>
    <s v="No"/>
    <x v="1"/>
    <m/>
    <m/>
    <s v="Gambia, The"/>
    <s v="Gambia, The"/>
    <s v="Pre Arrival"/>
  </r>
  <r>
    <s v="Sultana, Nusrat"/>
    <s v="M03000347"/>
    <s v="N0000000347"/>
    <s v="Initial"/>
    <s v="F-1"/>
    <s v="Female"/>
    <s v="Project Management-MS"/>
    <s v="No"/>
    <s v="No"/>
    <x v="0"/>
    <m/>
    <m/>
    <s v="Bangladesh"/>
    <s v="Bangladesh"/>
    <s v="Pre Arrival"/>
  </r>
  <r>
    <s v="Le, Mai"/>
    <s v="M03000187"/>
    <s v="N0000000187"/>
    <s v="Initial"/>
    <s v="F-1"/>
    <s v="Female"/>
    <s v="Business Admin-MBA"/>
    <s v="No"/>
    <s v="No"/>
    <x v="0"/>
    <m/>
    <m/>
    <s v="Vietnam"/>
    <s v="Vietnam"/>
    <s v="Pre Arrival"/>
  </r>
  <r>
    <s v="Anita, Patel"/>
    <s v="M03000272"/>
    <s v="N0000000272"/>
    <s v="Initial"/>
    <s v="F-1"/>
    <s v="Female"/>
    <s v="Public Health-MPH"/>
    <s v="No"/>
    <s v="No"/>
    <x v="1"/>
    <m/>
    <m/>
    <s v="India"/>
    <s v="India"/>
    <s v="Pre Arrival"/>
  </r>
  <r>
    <s v="Mohammadi, Sara"/>
    <s v="M03000329"/>
    <s v="N0000000329"/>
    <s v="Initial"/>
    <s v="F-1"/>
    <s v="Female"/>
    <s v="Project Management-MS"/>
    <s v="Yes"/>
    <s v="No"/>
    <x v="0"/>
    <s v="Denied"/>
    <m/>
    <s v="Iran"/>
    <s v="Iran"/>
    <s v="Pre Arrival"/>
  </r>
  <r>
    <s v="Priya, Sharma"/>
    <s v="M03000183"/>
    <s v="N0000000183"/>
    <s v="Initial"/>
    <s v="F-1"/>
    <s v="Female"/>
    <s v="English-MA"/>
    <s v="No"/>
    <s v="No"/>
    <x v="1"/>
    <m/>
    <m/>
    <s v="India"/>
    <s v="India"/>
    <s v="Pre Arrival"/>
  </r>
  <r>
    <s v="Shrestha, Prakash"/>
    <s v="M03000075"/>
    <s v="N0000000075"/>
    <s v="Initial"/>
    <s v="F-1"/>
    <s v="Male"/>
    <s v="Kinesiology-MS"/>
    <s v="No"/>
    <s v="MOGO"/>
    <x v="0"/>
    <m/>
    <m/>
    <s v="Nepal"/>
    <s v="Nepal"/>
    <s v="Pre Arrival"/>
  </r>
  <r>
    <s v="Wanjiru, Mary"/>
    <s v="M03000301"/>
    <s v="N0000000301"/>
    <s v="Initial"/>
    <s v="F-1"/>
    <s v="Female"/>
    <s v="Computer Science-MS"/>
    <s v="No"/>
    <s v="No"/>
    <x v="1"/>
    <m/>
    <m/>
    <s v="Kenya"/>
    <s v="Kenya"/>
    <s v="Pre Arrival"/>
  </r>
  <r>
    <s v="Amit, Sharma"/>
    <s v="M03000117"/>
    <s v="N0000000117"/>
    <s v="Initial"/>
    <s v="F-1"/>
    <s v="Male"/>
    <s v="Project Management-MS"/>
    <s v="No"/>
    <s v="No"/>
    <x v="1"/>
    <m/>
    <m/>
    <s v="India"/>
    <s v="India"/>
    <s v="Pre Arrival"/>
  </r>
  <r>
    <s v="Khan, Rafi"/>
    <s v="M03000289"/>
    <s v="N0000000289"/>
    <s v="Initial"/>
    <s v="F-1"/>
    <s v="Male"/>
    <s v="Business Admin-MBA"/>
    <s v="Yes"/>
    <s v="MOGO"/>
    <x v="0"/>
    <m/>
    <m/>
    <s v="Bangladesh"/>
    <s v="Bangladesh"/>
    <s v="Pre Arrival"/>
  </r>
  <r>
    <s v="Neha, Gupta"/>
    <s v="M03000073"/>
    <s v="N0000000073"/>
    <s v="Initial"/>
    <s v="F-1"/>
    <s v="Female"/>
    <s v="Computer Science-MS"/>
    <s v="No"/>
    <s v="No"/>
    <x v="1"/>
    <m/>
    <m/>
    <s v="India"/>
    <s v="India"/>
    <s v="Pre Arrival"/>
  </r>
  <r>
    <s v="Khan, Rafi"/>
    <s v="M03000294"/>
    <s v="N0000000294"/>
    <s v="Initial"/>
    <s v="F-1"/>
    <s v="Male"/>
    <s v="Computer Science-MS"/>
    <s v="No"/>
    <s v="No"/>
    <x v="1"/>
    <m/>
    <m/>
    <s v="Bangladesh"/>
    <s v="Bangladesh"/>
    <s v="Pre Arrival"/>
  </r>
  <r>
    <s v="Shah, Usman"/>
    <s v="M03000355"/>
    <s v="N0000000355"/>
    <s v="Initial"/>
    <s v="F-1"/>
    <s v="Male"/>
    <s v="Information Technology-MS"/>
    <s v="No"/>
    <s v="MOGO"/>
    <x v="1"/>
    <m/>
    <m/>
    <s v="Pakistan"/>
    <s v="Pakistan"/>
    <s v="Pre Arrival"/>
  </r>
  <r>
    <s v="Bold, Saruul"/>
    <s v="M03000284"/>
    <s v="N0000000284"/>
    <s v="Initial"/>
    <s v="F-1"/>
    <s v="Female"/>
    <s v="Project Management-MS"/>
    <s v="Yes"/>
    <s v="No"/>
    <x v="0"/>
    <m/>
    <m/>
    <s v="Mongolia"/>
    <s v="Mongolia"/>
    <s v="Pre Arrival"/>
  </r>
  <r>
    <s v="Wang, Mei"/>
    <s v="M03000096"/>
    <s v="N0000000096"/>
    <s v="Initial"/>
    <s v="F-1"/>
    <s v="Female"/>
    <s v="Information Technology-MS"/>
    <s v="No"/>
    <s v="No"/>
    <x v="0"/>
    <s v="Yes"/>
    <m/>
    <s v="China"/>
    <s v="China"/>
    <s v="Pre Arrival"/>
  </r>
  <r>
    <s v="Tanaka, Hiroshi"/>
    <s v="M03000312"/>
    <s v="N0000000312"/>
    <s v="Initial"/>
    <s v="F-1"/>
    <s v="Male"/>
    <s v="Information Technology-MS"/>
    <s v="No"/>
    <s v="No"/>
    <x v="0"/>
    <s v="Yes"/>
    <m/>
    <s v="Japan"/>
    <s v="Japan"/>
    <s v="Pre Arrival"/>
  </r>
  <r>
    <s v="Yetunde, Adeyemi"/>
    <s v="M03000198"/>
    <s v="N0000000198"/>
    <s v="Initial"/>
    <s v="F-1"/>
    <s v="Female"/>
    <s v="Communication-MA"/>
    <s v="Yes"/>
    <s v="No"/>
    <x v="0"/>
    <s v="Yes"/>
    <m/>
    <s v="Nigeria"/>
    <s v="Nigeria"/>
    <s v="Pre Arrival"/>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
  <r>
    <x v="0"/>
  </r>
  <r>
    <x v="0"/>
  </r>
  <r>
    <x v="0"/>
  </r>
  <r>
    <x v="1"/>
  </r>
  <r>
    <x v="0"/>
  </r>
  <r>
    <x v="0"/>
  </r>
  <r>
    <x v="1"/>
  </r>
  <r>
    <x v="0"/>
  </r>
  <r>
    <x v="0"/>
  </r>
  <r>
    <x v="0"/>
  </r>
  <r>
    <x v="0"/>
  </r>
  <r>
    <x v="1"/>
  </r>
  <r>
    <x v="1"/>
  </r>
  <r>
    <x v="0"/>
  </r>
  <r>
    <x v="0"/>
  </r>
  <r>
    <x v="0"/>
  </r>
  <r>
    <x v="0"/>
  </r>
  <r>
    <x v="0"/>
  </r>
  <r>
    <x v="0"/>
  </r>
  <r>
    <x v="1"/>
  </r>
  <r>
    <x v="0"/>
  </r>
  <r>
    <x v="1"/>
  </r>
  <r>
    <x v="0"/>
  </r>
  <r>
    <x v="0"/>
  </r>
  <r>
    <x v="0"/>
  </r>
  <r>
    <x v="0"/>
  </r>
  <r>
    <x v="0"/>
  </r>
  <r>
    <x v="0"/>
  </r>
  <r>
    <x v="0"/>
  </r>
  <r>
    <x v="0"/>
  </r>
  <r>
    <x v="0"/>
  </r>
  <r>
    <x v="0"/>
  </r>
  <r>
    <x v="0"/>
  </r>
  <r>
    <x v="0"/>
  </r>
  <r>
    <x v="0"/>
  </r>
  <r>
    <x v="0"/>
  </r>
  <r>
    <x v="0"/>
  </r>
  <r>
    <x v="1"/>
  </r>
  <r>
    <x v="0"/>
  </r>
  <r>
    <x v="0"/>
  </r>
  <r>
    <x v="1"/>
  </r>
  <r>
    <x v="0"/>
  </r>
  <r>
    <x v="1"/>
  </r>
  <r>
    <x v="1"/>
  </r>
  <r>
    <x v="0"/>
  </r>
  <r>
    <x v="0"/>
  </r>
  <r>
    <x v="0"/>
  </r>
  <r>
    <x v="0"/>
  </r>
  <r>
    <x v="0"/>
  </r>
  <r>
    <x v="0"/>
  </r>
  <r>
    <x v="1"/>
  </r>
  <r>
    <x v="1"/>
  </r>
  <r>
    <x v="0"/>
  </r>
  <r>
    <x v="0"/>
  </r>
  <r>
    <x v="0"/>
  </r>
  <r>
    <x v="1"/>
  </r>
  <r>
    <x v="1"/>
  </r>
  <r>
    <x v="0"/>
  </r>
  <r>
    <x v="1"/>
  </r>
  <r>
    <x v="0"/>
  </r>
  <r>
    <x v="0"/>
  </r>
  <r>
    <x v="0"/>
  </r>
  <r>
    <x v="0"/>
  </r>
  <r>
    <x v="0"/>
  </r>
  <r>
    <x v="0"/>
  </r>
  <r>
    <x v="0"/>
  </r>
  <r>
    <x v="0"/>
  </r>
  <r>
    <x v="1"/>
  </r>
  <r>
    <x v="0"/>
  </r>
  <r>
    <x v="0"/>
  </r>
  <r>
    <x v="0"/>
  </r>
  <r>
    <x v="0"/>
  </r>
  <r>
    <x v="0"/>
  </r>
  <r>
    <x v="1"/>
  </r>
  <r>
    <x v="1"/>
  </r>
  <r>
    <x v="0"/>
  </r>
  <r>
    <x v="0"/>
  </r>
  <r>
    <x v="1"/>
  </r>
  <r>
    <x v="1"/>
  </r>
  <r>
    <x v="0"/>
  </r>
  <r>
    <x v="0"/>
  </r>
  <r>
    <x v="0"/>
  </r>
  <r>
    <x v="0"/>
  </r>
  <r>
    <x v="0"/>
  </r>
  <r>
    <x v="0"/>
  </r>
  <r>
    <x v="0"/>
  </r>
  <r>
    <x v="0"/>
  </r>
  <r>
    <x v="0"/>
  </r>
  <r>
    <x v="0"/>
  </r>
  <r>
    <x v="0"/>
  </r>
  <r>
    <x v="2"/>
  </r>
  <r>
    <x v="0"/>
  </r>
  <r>
    <x v="0"/>
  </r>
  <r>
    <x v="0"/>
  </r>
  <r>
    <x v="0"/>
  </r>
  <r>
    <x v="0"/>
  </r>
  <r>
    <x v="1"/>
  </r>
  <r>
    <x v="0"/>
  </r>
  <r>
    <x v="0"/>
  </r>
  <r>
    <x v="0"/>
  </r>
  <r>
    <x v="0"/>
  </r>
  <r>
    <x v="0"/>
  </r>
  <r>
    <x v="0"/>
  </r>
  <r>
    <x v="0"/>
  </r>
  <r>
    <x v="0"/>
  </r>
  <r>
    <x v="0"/>
  </r>
  <r>
    <x v="0"/>
  </r>
  <r>
    <x v="0"/>
  </r>
  <r>
    <x v="0"/>
  </r>
  <r>
    <x v="0"/>
  </r>
  <r>
    <x v="1"/>
  </r>
  <r>
    <x v="0"/>
  </r>
  <r>
    <x v="0"/>
  </r>
  <r>
    <x v="0"/>
  </r>
  <r>
    <x v="1"/>
  </r>
  <r>
    <x v="0"/>
  </r>
  <r>
    <x v="1"/>
  </r>
  <r>
    <x v="0"/>
  </r>
  <r>
    <x v="0"/>
  </r>
  <r>
    <x v="0"/>
  </r>
  <r>
    <x v="0"/>
  </r>
  <r>
    <x v="0"/>
  </r>
  <r>
    <x v="0"/>
  </r>
  <r>
    <x v="0"/>
  </r>
  <r>
    <x v="0"/>
  </r>
  <r>
    <x v="0"/>
  </r>
  <r>
    <x v="0"/>
  </r>
  <r>
    <x v="0"/>
  </r>
  <r>
    <x v="0"/>
  </r>
  <r>
    <x v="0"/>
  </r>
  <r>
    <x v="1"/>
  </r>
  <r>
    <x v="0"/>
  </r>
  <r>
    <x v="1"/>
  </r>
  <r>
    <x v="1"/>
  </r>
  <r>
    <x v="2"/>
  </r>
  <r>
    <x v="1"/>
  </r>
  <r>
    <x v="0"/>
  </r>
  <r>
    <x v="0"/>
  </r>
  <r>
    <x v="0"/>
  </r>
  <r>
    <x v="0"/>
  </r>
  <r>
    <x v="2"/>
  </r>
  <r>
    <x v="0"/>
  </r>
  <r>
    <x v="0"/>
  </r>
  <r>
    <x v="0"/>
  </r>
  <r>
    <x v="0"/>
  </r>
  <r>
    <x v="2"/>
  </r>
  <r>
    <x v="0"/>
  </r>
  <r>
    <x v="0"/>
  </r>
  <r>
    <x v="0"/>
  </r>
  <r>
    <x v="0"/>
  </r>
  <r>
    <x v="0"/>
  </r>
  <r>
    <x v="0"/>
  </r>
  <r>
    <x v="0"/>
  </r>
  <r>
    <x v="0"/>
  </r>
  <r>
    <x v="2"/>
  </r>
  <r>
    <x v="0"/>
  </r>
  <r>
    <x v="0"/>
  </r>
  <r>
    <x v="0"/>
  </r>
  <r>
    <x v="0"/>
  </r>
  <r>
    <x v="0"/>
  </r>
  <r>
    <x v="1"/>
  </r>
  <r>
    <x v="0"/>
  </r>
  <r>
    <x v="0"/>
  </r>
  <r>
    <x v="0"/>
  </r>
  <r>
    <x v="1"/>
  </r>
  <r>
    <x v="0"/>
  </r>
  <r>
    <x v="0"/>
  </r>
  <r>
    <x v="2"/>
  </r>
  <r>
    <x v="1"/>
  </r>
  <r>
    <x v="1"/>
  </r>
  <r>
    <x v="0"/>
  </r>
  <r>
    <x v="0"/>
  </r>
  <r>
    <x v="1"/>
  </r>
  <r>
    <x v="0"/>
  </r>
  <r>
    <x v="0"/>
  </r>
  <r>
    <x v="0"/>
  </r>
  <r>
    <x v="1"/>
  </r>
  <r>
    <x v="0"/>
  </r>
  <r>
    <x v="1"/>
  </r>
  <r>
    <x v="0"/>
  </r>
  <r>
    <x v="0"/>
  </r>
  <r>
    <x v="0"/>
  </r>
  <r>
    <x v="0"/>
  </r>
  <r>
    <x v="0"/>
  </r>
  <r>
    <x v="1"/>
  </r>
  <r>
    <x v="0"/>
  </r>
  <r>
    <x v="1"/>
  </r>
  <r>
    <x v="0"/>
  </r>
  <r>
    <x v="1"/>
  </r>
  <r>
    <x v="0"/>
  </r>
  <r>
    <x v="0"/>
  </r>
  <r>
    <x v="0"/>
  </r>
  <r>
    <x v="0"/>
  </r>
  <r>
    <x v="0"/>
  </r>
  <r>
    <x v="0"/>
  </r>
  <r>
    <x v="0"/>
  </r>
  <r>
    <x v="0"/>
  </r>
  <r>
    <x v="0"/>
  </r>
  <r>
    <x v="0"/>
  </r>
  <r>
    <x v="0"/>
  </r>
  <r>
    <x v="0"/>
  </r>
  <r>
    <x v="0"/>
  </r>
  <r>
    <x v="0"/>
  </r>
  <r>
    <x v="0"/>
  </r>
  <r>
    <x v="2"/>
  </r>
  <r>
    <x v="0"/>
  </r>
  <r>
    <x v="0"/>
  </r>
  <r>
    <x v="0"/>
  </r>
  <r>
    <x v="0"/>
  </r>
  <r>
    <x v="0"/>
  </r>
  <r>
    <x v="1"/>
  </r>
  <r>
    <x v="0"/>
  </r>
  <r>
    <x v="0"/>
  </r>
  <r>
    <x v="0"/>
  </r>
  <r>
    <x v="0"/>
  </r>
  <r>
    <x v="1"/>
  </r>
  <r>
    <x v="0"/>
  </r>
  <r>
    <x v="0"/>
  </r>
  <r>
    <x v="1"/>
  </r>
  <r>
    <x v="0"/>
  </r>
  <r>
    <x v="0"/>
  </r>
  <r>
    <x v="0"/>
  </r>
  <r>
    <x v="2"/>
  </r>
  <r>
    <x v="0"/>
  </r>
  <r>
    <x v="0"/>
  </r>
  <r>
    <x v="0"/>
  </r>
  <r>
    <x v="0"/>
  </r>
  <r>
    <x v="1"/>
  </r>
  <r>
    <x v="0"/>
  </r>
  <r>
    <x v="0"/>
  </r>
  <r>
    <x v="0"/>
  </r>
  <r>
    <x v="0"/>
  </r>
  <r>
    <x v="0"/>
  </r>
  <r>
    <x v="0"/>
  </r>
  <r>
    <x v="0"/>
  </r>
  <r>
    <x v="0"/>
  </r>
  <r>
    <x v="1"/>
  </r>
  <r>
    <x v="0"/>
  </r>
  <r>
    <x v="2"/>
  </r>
  <r>
    <x v="0"/>
  </r>
  <r>
    <x v="1"/>
  </r>
  <r>
    <x v="0"/>
  </r>
  <r>
    <x v="0"/>
  </r>
  <r>
    <x v="2"/>
  </r>
  <r>
    <x v="0"/>
  </r>
  <r>
    <x v="0"/>
  </r>
  <r>
    <x v="0"/>
  </r>
  <r>
    <x v="1"/>
  </r>
  <r>
    <x v="0"/>
  </r>
  <r>
    <x v="0"/>
  </r>
  <r>
    <x v="1"/>
  </r>
  <r>
    <x v="0"/>
  </r>
  <r>
    <x v="0"/>
  </r>
  <r>
    <x v="0"/>
  </r>
  <r>
    <x v="0"/>
  </r>
  <r>
    <x v="0"/>
  </r>
  <r>
    <x v="0"/>
  </r>
  <r>
    <x v="0"/>
  </r>
  <r>
    <x v="1"/>
  </r>
  <r>
    <x v="0"/>
  </r>
  <r>
    <x v="1"/>
  </r>
  <r>
    <x v="0"/>
  </r>
  <r>
    <x v="1"/>
  </r>
  <r>
    <x v="0"/>
  </r>
  <r>
    <x v="1"/>
  </r>
  <r>
    <x v="0"/>
  </r>
  <r>
    <x v="0"/>
  </r>
  <r>
    <x v="0"/>
  </r>
  <r>
    <x v="1"/>
  </r>
  <r>
    <x v="1"/>
  </r>
  <r>
    <x v="1"/>
  </r>
  <r>
    <x v="0"/>
  </r>
  <r>
    <x v="0"/>
  </r>
  <r>
    <x v="0"/>
  </r>
  <r>
    <x v="1"/>
  </r>
  <r>
    <x v="0"/>
  </r>
  <r>
    <x v="0"/>
  </r>
  <r>
    <x v="0"/>
  </r>
  <r>
    <x v="0"/>
  </r>
  <r>
    <x v="0"/>
  </r>
  <r>
    <x v="0"/>
  </r>
  <r>
    <x v="0"/>
  </r>
  <r>
    <x v="2"/>
  </r>
  <r>
    <x v="0"/>
  </r>
  <r>
    <x v="0"/>
  </r>
  <r>
    <x v="0"/>
  </r>
  <r>
    <x v="0"/>
  </r>
  <r>
    <x v="0"/>
  </r>
  <r>
    <x v="0"/>
  </r>
  <r>
    <x v="0"/>
  </r>
  <r>
    <x v="0"/>
  </r>
  <r>
    <x v="0"/>
  </r>
  <r>
    <x v="0"/>
  </r>
  <r>
    <x v="0"/>
  </r>
  <r>
    <x v="1"/>
  </r>
  <r>
    <x v="0"/>
  </r>
  <r>
    <x v="0"/>
  </r>
  <r>
    <x v="0"/>
  </r>
  <r>
    <x v="1"/>
  </r>
  <r>
    <x v="0"/>
  </r>
  <r>
    <x v="0"/>
  </r>
  <r>
    <x v="0"/>
  </r>
  <r>
    <x v="0"/>
  </r>
  <r>
    <x v="1"/>
  </r>
  <r>
    <x v="0"/>
  </r>
  <r>
    <x v="0"/>
  </r>
  <r>
    <x v="0"/>
  </r>
  <r>
    <x v="0"/>
  </r>
  <r>
    <x v="0"/>
  </r>
  <r>
    <x v="0"/>
  </r>
  <r>
    <x v="2"/>
  </r>
  <r>
    <x v="0"/>
  </r>
  <r>
    <x v="0"/>
  </r>
  <r>
    <x v="0"/>
  </r>
  <r>
    <x v="1"/>
  </r>
  <r>
    <x v="0"/>
  </r>
  <r>
    <x v="1"/>
  </r>
  <r>
    <x v="0"/>
  </r>
  <r>
    <x v="1"/>
  </r>
  <r>
    <x v="1"/>
  </r>
  <r>
    <x v="0"/>
  </r>
  <r>
    <x v="0"/>
  </r>
  <r>
    <x v="1"/>
  </r>
  <r>
    <x v="0"/>
  </r>
  <r>
    <x v="0"/>
  </r>
  <r>
    <x v="0"/>
  </r>
  <r>
    <x v="0"/>
  </r>
  <r>
    <x v="0"/>
  </r>
  <r>
    <x v="0"/>
  </r>
  <r>
    <x v="0"/>
  </r>
  <r>
    <x v="0"/>
  </r>
  <r>
    <x v="1"/>
  </r>
  <r>
    <x v="1"/>
  </r>
  <r>
    <x v="0"/>
  </r>
  <r>
    <x v="0"/>
  </r>
  <r>
    <x v="0"/>
  </r>
  <r>
    <x v="0"/>
  </r>
  <r>
    <x v="0"/>
  </r>
  <r>
    <x v="0"/>
  </r>
  <r>
    <x v="0"/>
  </r>
  <r>
    <x v="0"/>
  </r>
  <r>
    <x v="0"/>
  </r>
  <r>
    <x v="0"/>
  </r>
  <r>
    <x v="0"/>
  </r>
  <r>
    <x v="1"/>
  </r>
  <r>
    <x v="0"/>
  </r>
  <r>
    <x v="0"/>
  </r>
  <r>
    <x v="0"/>
  </r>
  <r>
    <x v="0"/>
  </r>
  <r>
    <x v="0"/>
  </r>
  <r>
    <x v="0"/>
  </r>
  <r>
    <x v="0"/>
  </r>
  <r>
    <x v="0"/>
  </r>
  <r>
    <x v="1"/>
  </r>
  <r>
    <x v="0"/>
  </r>
  <r>
    <x v="0"/>
  </r>
  <r>
    <x v="1"/>
  </r>
  <r>
    <x v="0"/>
  </r>
  <r>
    <x v="0"/>
  </r>
  <r>
    <x v="1"/>
  </r>
  <r>
    <x v="0"/>
  </r>
  <r>
    <x v="0"/>
  </r>
  <r>
    <x v="0"/>
  </r>
  <r>
    <x v="0"/>
  </r>
  <r>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D43EDA-5844-4A0E-B362-4CFD689BDF34}" name="PivotTable2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3:K46" firstHeaderRow="1" firstDataRow="1" firstDataCol="1"/>
  <pivotFields count="15">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s>
  <rowFields count="1">
    <field x="9"/>
  </rowFields>
  <rowItems count="3">
    <i>
      <x/>
    </i>
    <i>
      <x v="1"/>
    </i>
    <i t="grand">
      <x/>
    </i>
  </rowItems>
  <colItems count="1">
    <i/>
  </colItems>
  <dataFields count="1">
    <dataField name="Count of I-901 Fee"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8EE3FC-CFA1-4752-A7FD-DF488201A50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B11" firstHeaderRow="1" firstDataRow="1" firstDataCol="1"/>
  <pivotFields count="15">
    <pivotField showAll="0"/>
    <pivotField showAll="0"/>
    <pivotField showAll="0"/>
    <pivotField showAll="0"/>
    <pivotField axis="axisRow" dataField="1" showAll="0">
      <items count="2">
        <item x="0"/>
        <item t="default"/>
      </items>
    </pivotField>
    <pivotField showAll="0"/>
    <pivotField showAll="0"/>
    <pivotField showAll="0"/>
    <pivotField showAll="0"/>
    <pivotField showAll="0"/>
    <pivotField showAll="0"/>
    <pivotField showAll="0"/>
    <pivotField showAll="0"/>
    <pivotField showAll="0"/>
    <pivotField showAll="0"/>
  </pivotFields>
  <rowFields count="1">
    <field x="4"/>
  </rowFields>
  <rowItems count="2">
    <i>
      <x/>
    </i>
    <i t="grand">
      <x/>
    </i>
  </rowItems>
  <colItems count="1">
    <i/>
  </colItems>
  <dataFields count="1">
    <dataField name="Count of Visa Typ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A2D8DA-75BE-49BA-8A11-DD5F3DAFD4B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9:E12" firstHeaderRow="1" firstDataRow="1" firstDataCol="1"/>
  <pivotFields count="15">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s>
  <rowFields count="1">
    <field x="9"/>
  </rowFields>
  <rowItems count="3">
    <i>
      <x/>
    </i>
    <i>
      <x v="1"/>
    </i>
    <i t="grand">
      <x/>
    </i>
  </rowItems>
  <colItems count="1">
    <i/>
  </colItems>
  <dataFields count="1">
    <dataField name="Count of I-901 Fee"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7299B2-3C5E-4D58-971C-EDAB40BECA63}"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5:K39" firstHeaderRow="1" firstDataRow="1" firstDataCol="1" rowPageCount="1" colPageCount="1"/>
  <pivotFields count="15">
    <pivotField showAll="0"/>
    <pivotField showAll="0"/>
    <pivotField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axis="axisRow" dataField="1" showAll="0">
      <items count="34">
        <item x="1"/>
        <item x="18"/>
        <item x="17"/>
        <item x="7"/>
        <item x="11"/>
        <item x="19"/>
        <item x="29"/>
        <item x="0"/>
        <item x="2"/>
        <item x="31"/>
        <item x="8"/>
        <item x="27"/>
        <item x="30"/>
        <item x="26"/>
        <item x="6"/>
        <item x="23"/>
        <item x="32"/>
        <item x="22"/>
        <item x="14"/>
        <item x="3"/>
        <item x="5"/>
        <item x="12"/>
        <item x="16"/>
        <item x="15"/>
        <item x="13"/>
        <item x="21"/>
        <item x="28"/>
        <item x="20"/>
        <item x="10"/>
        <item x="25"/>
        <item x="24"/>
        <item x="9"/>
        <item x="4"/>
        <item t="default"/>
      </items>
    </pivotField>
    <pivotField showAll="0"/>
  </pivotFields>
  <rowFields count="1">
    <field x="13"/>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pageFields count="1">
    <pageField fld="5" hier="-1"/>
  </pageFields>
  <dataFields count="1">
    <dataField name="Count of Country of Citizenship"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2D40F3-98C6-4020-81AB-1596DE0AEE9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2:S13" firstHeaderRow="0" firstDataRow="1" firstDataCol="0"/>
  <pivotFields count="15">
    <pivotField showAll="0"/>
    <pivotField showAll="0"/>
    <pivotField showAll="0"/>
    <pivotField showAll="0"/>
    <pivotField showAll="0"/>
    <pivotField dataField="1" showAll="0">
      <items count="3">
        <item x="1"/>
        <item x="0"/>
        <item t="default"/>
      </items>
    </pivotField>
    <pivotField dataField="1" showAll="0">
      <items count="34">
        <item x="3"/>
        <item x="18"/>
        <item x="25"/>
        <item x="15"/>
        <item x="17"/>
        <item x="7"/>
        <item x="0"/>
        <item x="21"/>
        <item x="11"/>
        <item x="9"/>
        <item x="10"/>
        <item x="8"/>
        <item x="29"/>
        <item x="4"/>
        <item x="31"/>
        <item x="20"/>
        <item x="13"/>
        <item x="1"/>
        <item x="16"/>
        <item x="23"/>
        <item x="27"/>
        <item x="28"/>
        <item x="2"/>
        <item x="26"/>
        <item x="12"/>
        <item x="24"/>
        <item x="5"/>
        <item x="32"/>
        <item x="14"/>
        <item x="6"/>
        <item x="30"/>
        <item x="19"/>
        <item x="22"/>
        <item t="default"/>
      </items>
    </pivotField>
    <pivotField dataField="1" showAll="0"/>
    <pivotField dataField="1" showAll="0"/>
    <pivotField dataField="1" showAll="0"/>
    <pivotField showAll="0"/>
    <pivotField showAll="0"/>
    <pivotField dataField="1" showAll="0"/>
    <pivotField showAll="0"/>
    <pivotField showAll="0"/>
  </pivotFields>
  <rowItems count="1">
    <i/>
  </rowItems>
  <colFields count="1">
    <field x="-2"/>
  </colFields>
  <colItems count="6">
    <i>
      <x/>
    </i>
    <i i="1">
      <x v="1"/>
    </i>
    <i i="2">
      <x v="2"/>
    </i>
    <i i="3">
      <x v="3"/>
    </i>
    <i i="4">
      <x v="4"/>
    </i>
    <i i="5">
      <x v="5"/>
    </i>
  </colItems>
  <dataFields count="6">
    <dataField name="Count of Sex" fld="5" subtotal="count" baseField="0" baseItem="0"/>
    <dataField name="Count of Graduate Assistantship" fld="7" subtotal="count" baseField="0" baseItem="0"/>
    <dataField name="Count of Country of Birth" fld="12" subtotal="countNums" baseField="0" baseItem="2"/>
    <dataField name="Count of Program of Study" fld="6" subtotal="count" baseField="0" baseItem="0"/>
    <dataField name="Count of I-901 Fee" fld="9" subtotal="count" baseField="0" baseItem="0"/>
    <dataField name="Count of Scholarship"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D000FD-0964-48E5-9251-C7833EC40ED4}"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6" firstHeaderRow="1" firstDataRow="1" firstDataCol="1"/>
  <pivotFields count="15">
    <pivotField showAll="0"/>
    <pivotField showAll="0"/>
    <pivotField showAll="0"/>
    <pivotField showAll="0"/>
    <pivotField showAll="0"/>
    <pivotField showAll="0"/>
    <pivotField showAll="0"/>
    <pivotField axis="axisRow" dataField="1" showAll="0">
      <items count="3">
        <item x="1"/>
        <item x="0"/>
        <item t="default"/>
      </items>
    </pivotField>
    <pivotField showAll="0"/>
    <pivotField showAll="0"/>
    <pivotField showAll="0"/>
    <pivotField showAll="0"/>
    <pivotField showAll="0"/>
    <pivotField showAll="0"/>
    <pivotField showAll="0"/>
  </pivotFields>
  <rowFields count="1">
    <field x="7"/>
  </rowFields>
  <rowItems count="3">
    <i>
      <x/>
    </i>
    <i>
      <x v="1"/>
    </i>
    <i t="grand">
      <x/>
    </i>
  </rowItems>
  <colItems count="1">
    <i/>
  </colItems>
  <dataFields count="1">
    <dataField name="Count of Graduate Assistantship"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9D0D025-6DFF-4C84-9396-D5448EDAD0F6}"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5:H39" firstHeaderRow="1" firstDataRow="1" firstDataCol="1"/>
  <pivotFields count="15">
    <pivotField showAll="0"/>
    <pivotField showAll="0"/>
    <pivotField showAll="0"/>
    <pivotField showAll="0"/>
    <pivotField showAll="0"/>
    <pivotField showAll="0">
      <items count="3">
        <item x="1"/>
        <item x="0"/>
        <item t="default"/>
      </items>
    </pivotField>
    <pivotField showAll="0">
      <items count="34">
        <item x="3"/>
        <item x="18"/>
        <item x="25"/>
        <item x="15"/>
        <item x="17"/>
        <item x="7"/>
        <item x="0"/>
        <item x="21"/>
        <item x="11"/>
        <item x="9"/>
        <item x="10"/>
        <item x="8"/>
        <item x="29"/>
        <item x="4"/>
        <item x="31"/>
        <item x="20"/>
        <item x="13"/>
        <item x="1"/>
        <item x="16"/>
        <item x="23"/>
        <item x="27"/>
        <item x="28"/>
        <item x="2"/>
        <item x="26"/>
        <item x="12"/>
        <item x="24"/>
        <item x="5"/>
        <item x="32"/>
        <item x="14"/>
        <item x="6"/>
        <item x="30"/>
        <item x="19"/>
        <item x="22"/>
        <item t="default"/>
      </items>
    </pivotField>
    <pivotField showAll="0"/>
    <pivotField showAll="0"/>
    <pivotField showAll="0"/>
    <pivotField showAll="0"/>
    <pivotField showAll="0"/>
    <pivotField axis="axisRow" dataField="1" showAll="0" sortType="ascending">
      <items count="34">
        <item x="1"/>
        <item x="18"/>
        <item x="17"/>
        <item x="7"/>
        <item x="11"/>
        <item x="19"/>
        <item x="29"/>
        <item x="0"/>
        <item x="2"/>
        <item x="31"/>
        <item x="8"/>
        <item x="27"/>
        <item x="30"/>
        <item x="26"/>
        <item x="6"/>
        <item x="23"/>
        <item x="32"/>
        <item x="22"/>
        <item x="14"/>
        <item x="3"/>
        <item x="5"/>
        <item x="12"/>
        <item x="16"/>
        <item x="15"/>
        <item x="13"/>
        <item x="21"/>
        <item x="28"/>
        <item x="20"/>
        <item x="10"/>
        <item x="25"/>
        <item x="24"/>
        <item x="9"/>
        <item x="4"/>
        <item t="default"/>
      </items>
      <autoSortScope>
        <pivotArea dataOnly="0" outline="0" fieldPosition="0">
          <references count="1">
            <reference field="4294967294" count="1" selected="0">
              <x v="0"/>
            </reference>
          </references>
        </pivotArea>
      </autoSortScope>
    </pivotField>
    <pivotField showAll="0"/>
    <pivotField showAll="0"/>
  </pivotFields>
  <rowFields count="1">
    <field x="12"/>
  </rowFields>
  <rowItems count="34">
    <i>
      <x v="16"/>
    </i>
    <i>
      <x v="15"/>
    </i>
    <i>
      <x v="1"/>
    </i>
    <i>
      <x v="2"/>
    </i>
    <i>
      <x v="17"/>
    </i>
    <i>
      <x v="5"/>
    </i>
    <i>
      <x v="29"/>
    </i>
    <i>
      <x v="30"/>
    </i>
    <i>
      <x v="11"/>
    </i>
    <i>
      <x v="23"/>
    </i>
    <i>
      <x v="32"/>
    </i>
    <i>
      <x v="24"/>
    </i>
    <i>
      <x v="13"/>
    </i>
    <i>
      <x v="25"/>
    </i>
    <i>
      <x v="9"/>
    </i>
    <i>
      <x v="27"/>
    </i>
    <i>
      <x v="18"/>
    </i>
    <i>
      <x v="6"/>
    </i>
    <i>
      <x v="28"/>
    </i>
    <i>
      <x v="26"/>
    </i>
    <i>
      <x v="22"/>
    </i>
    <i>
      <x v="12"/>
    </i>
    <i>
      <x v="4"/>
    </i>
    <i>
      <x v="3"/>
    </i>
    <i>
      <x v="31"/>
    </i>
    <i>
      <x v="21"/>
    </i>
    <i>
      <x v="10"/>
    </i>
    <i>
      <x v="19"/>
    </i>
    <i>
      <x v="7"/>
    </i>
    <i>
      <x v="8"/>
    </i>
    <i>
      <x v="14"/>
    </i>
    <i>
      <x/>
    </i>
    <i>
      <x v="20"/>
    </i>
    <i t="grand">
      <x/>
    </i>
  </rowItems>
  <colItems count="1">
    <i/>
  </colItems>
  <dataFields count="1">
    <dataField name="Count of Country of Birth" fld="12" subtotal="count" baseField="0" baseItem="0"/>
  </dataFields>
  <chartFormats count="3">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12" count="1" selected="0">
            <x v="2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7C46E79-7378-4289-902D-0B628E51E627}"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N5:O10" firstHeaderRow="1" firstDataRow="1" firstDataCol="1"/>
  <pivotFields count="1">
    <pivotField axis="axisRow" dataField="1" showAll="0">
      <items count="5">
        <item x="2"/>
        <item x="1"/>
        <item x="0"/>
        <item x="3"/>
        <item t="default"/>
      </items>
    </pivotField>
  </pivotFields>
  <rowFields count="1">
    <field x="0"/>
  </rowFields>
  <rowItems count="5">
    <i>
      <x/>
    </i>
    <i>
      <x v="1"/>
    </i>
    <i>
      <x v="2"/>
    </i>
    <i>
      <x v="3"/>
    </i>
    <i t="grand">
      <x/>
    </i>
  </rowItems>
  <colItems count="1">
    <i/>
  </colItems>
  <dataFields count="1">
    <dataField name="Count of Scholarship" fld="0" subtotal="count"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0AB9B72-A3D9-473B-A09D-4D425A38EA8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4:B48" firstHeaderRow="1" firstDataRow="1" firstDataCol="1"/>
  <pivotFields count="15">
    <pivotField showAll="0"/>
    <pivotField showAll="0"/>
    <pivotField showAll="0"/>
    <pivotField showAll="0"/>
    <pivotField showAll="0"/>
    <pivotField showAll="0"/>
    <pivotField axis="axisRow" dataField="1" showAll="0" sortType="ascending">
      <items count="34">
        <item x="3"/>
        <item x="18"/>
        <item x="25"/>
        <item x="15"/>
        <item x="17"/>
        <item x="7"/>
        <item x="0"/>
        <item x="21"/>
        <item x="11"/>
        <item x="9"/>
        <item x="10"/>
        <item x="8"/>
        <item x="29"/>
        <item x="4"/>
        <item x="31"/>
        <item x="20"/>
        <item x="13"/>
        <item x="1"/>
        <item x="16"/>
        <item x="23"/>
        <item x="27"/>
        <item x="28"/>
        <item x="2"/>
        <item x="26"/>
        <item x="12"/>
        <item x="24"/>
        <item x="5"/>
        <item x="32"/>
        <item x="14"/>
        <item x="6"/>
        <item x="30"/>
        <item x="19"/>
        <item x="2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s>
  <rowFields count="1">
    <field x="6"/>
  </rowFields>
  <rowItems count="34">
    <i>
      <x v="12"/>
    </i>
    <i>
      <x v="3"/>
    </i>
    <i>
      <x v="23"/>
    </i>
    <i>
      <x v="6"/>
    </i>
    <i>
      <x v="24"/>
    </i>
    <i>
      <x v="30"/>
    </i>
    <i>
      <x v="27"/>
    </i>
    <i>
      <x v="31"/>
    </i>
    <i>
      <x v="28"/>
    </i>
    <i>
      <x v="11"/>
    </i>
    <i>
      <x v="4"/>
    </i>
    <i>
      <x v="16"/>
    </i>
    <i>
      <x v="1"/>
    </i>
    <i>
      <x v="32"/>
    </i>
    <i>
      <x v="15"/>
    </i>
    <i>
      <x v="14"/>
    </i>
    <i>
      <x v="25"/>
    </i>
    <i>
      <x v="10"/>
    </i>
    <i>
      <x v="2"/>
    </i>
    <i>
      <x v="22"/>
    </i>
    <i>
      <x v="19"/>
    </i>
    <i>
      <x v="21"/>
    </i>
    <i>
      <x v="20"/>
    </i>
    <i>
      <x v="8"/>
    </i>
    <i>
      <x v="7"/>
    </i>
    <i>
      <x v="17"/>
    </i>
    <i>
      <x v="18"/>
    </i>
    <i>
      <x/>
    </i>
    <i>
      <x v="13"/>
    </i>
    <i>
      <x v="29"/>
    </i>
    <i>
      <x v="26"/>
    </i>
    <i>
      <x v="9"/>
    </i>
    <i>
      <x v="5"/>
    </i>
    <i t="grand">
      <x/>
    </i>
  </rowItems>
  <colItems count="1">
    <i/>
  </colItems>
  <dataFields count="1">
    <dataField name="Count of Program of Study" fld="6" subtotal="count" baseField="0" baseItem="0"/>
  </dataFields>
  <chartFormats count="5">
    <chartFormat chart="2"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3A3B154-3697-46B8-A385-5487B88C791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6" firstHeaderRow="1" firstDataRow="1" firstDataCol="1"/>
  <pivotFields count="15">
    <pivotField showAll="0">
      <items count="111">
        <item x="28"/>
        <item x="27"/>
        <item x="65"/>
        <item x="77"/>
        <item x="42"/>
        <item x="25"/>
        <item x="67"/>
        <item x="60"/>
        <item x="40"/>
        <item x="90"/>
        <item x="34"/>
        <item x="70"/>
        <item x="2"/>
        <item x="54"/>
        <item x="83"/>
        <item x="53"/>
        <item x="21"/>
        <item x="62"/>
        <item x="57"/>
        <item x="8"/>
        <item x="15"/>
        <item x="46"/>
        <item x="30"/>
        <item x="85"/>
        <item x="92"/>
        <item x="108"/>
        <item x="23"/>
        <item x="49"/>
        <item x="52"/>
        <item x="26"/>
        <item x="35"/>
        <item x="80"/>
        <item x="61"/>
        <item x="39"/>
        <item x="76"/>
        <item x="75"/>
        <item x="19"/>
        <item x="12"/>
        <item x="24"/>
        <item x="55"/>
        <item x="72"/>
        <item x="9"/>
        <item x="10"/>
        <item x="89"/>
        <item x="43"/>
        <item x="51"/>
        <item x="78"/>
        <item x="105"/>
        <item x="96"/>
        <item x="91"/>
        <item x="18"/>
        <item x="100"/>
        <item x="98"/>
        <item x="101"/>
        <item x="4"/>
        <item x="22"/>
        <item x="1"/>
        <item x="0"/>
        <item x="63"/>
        <item x="5"/>
        <item x="106"/>
        <item x="104"/>
        <item x="56"/>
        <item x="37"/>
        <item x="93"/>
        <item x="59"/>
        <item x="79"/>
        <item x="68"/>
        <item x="71"/>
        <item x="36"/>
        <item x="33"/>
        <item x="38"/>
        <item x="44"/>
        <item x="86"/>
        <item x="29"/>
        <item x="14"/>
        <item x="66"/>
        <item x="81"/>
        <item x="16"/>
        <item x="103"/>
        <item x="64"/>
        <item x="11"/>
        <item x="48"/>
        <item x="7"/>
        <item x="97"/>
        <item x="94"/>
        <item x="58"/>
        <item x="32"/>
        <item x="20"/>
        <item x="31"/>
        <item x="47"/>
        <item x="45"/>
        <item x="82"/>
        <item x="74"/>
        <item x="107"/>
        <item x="99"/>
        <item x="69"/>
        <item x="3"/>
        <item x="6"/>
        <item x="109"/>
        <item x="102"/>
        <item x="50"/>
        <item x="73"/>
        <item x="13"/>
        <item x="88"/>
        <item x="84"/>
        <item x="41"/>
        <item x="95"/>
        <item x="87"/>
        <item x="17"/>
        <item t="default"/>
      </items>
    </pivotField>
    <pivotField showAll="0"/>
    <pivotField showAll="0"/>
    <pivotField showAll="0"/>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Items count="1">
    <i/>
  </colItems>
  <dataFields count="1">
    <dataField name="Gender" fld="5" subtotal="count" baseField="5" baseItem="0"/>
  </dataFields>
  <chartFormats count="6">
    <chartFormat chart="4"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5" count="1" selected="0">
            <x v="0"/>
          </reference>
        </references>
      </pivotArea>
    </chartFormat>
    <chartFormat chart="7" format="6">
      <pivotArea type="data" outline="0" fieldPosition="0">
        <references count="2">
          <reference field="4294967294" count="1" selected="0">
            <x v="0"/>
          </reference>
          <reference field="5" count="1" selected="0">
            <x v="1"/>
          </reference>
        </references>
      </pivotArea>
    </chartFormat>
    <chartFormat chart="4" format="1">
      <pivotArea type="data" outline="0" fieldPosition="0">
        <references count="2">
          <reference field="4294967294" count="1" selected="0">
            <x v="0"/>
          </reference>
          <reference field="5" count="1" selected="0">
            <x v="0"/>
          </reference>
        </references>
      </pivotArea>
    </chartFormat>
    <chartFormat chart="4" format="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C2D0A9A-8E3A-4994-AE9D-C7528997C9EF}" autoFormatId="16" applyNumberFormats="0" applyBorderFormats="0" applyFontFormats="0" applyPatternFormats="0" applyAlignmentFormats="0" applyWidthHeightFormats="0">
  <queryTableRefresh nextId="16">
    <queryTableFields count="15">
      <queryTableField id="1" name="Name" tableColumnId="1"/>
      <queryTableField id="2" name="M Number" tableColumnId="2"/>
      <queryTableField id="3" name="SEVIS Number" tableColumnId="3"/>
      <queryTableField id="4" name="SEVIS Status" tableColumnId="4"/>
      <queryTableField id="5" name="Visa Type" tableColumnId="5"/>
      <queryTableField id="6" name="Sex" tableColumnId="6"/>
      <queryTableField id="7" name="Program of Study" tableColumnId="7"/>
      <queryTableField id="8" name="Graduate Assistantship" tableColumnId="8"/>
      <queryTableField id="9" name="Scholarship" tableColumnId="9"/>
      <queryTableField id="10" name="I-901 Fee" tableColumnId="10"/>
      <queryTableField id="11" name="Visa" tableColumnId="11"/>
      <queryTableField id="12" name="Notes" tableColumnId="12"/>
      <queryTableField id="13" name="Country of Birth" tableColumnId="13"/>
      <queryTableField id="14" name="Country of Citizenship" tableColumnId="14"/>
      <queryTableField id="15" name="Stage Status"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78DD326C-338A-42EF-81B2-B85D39FB567B}" sourceName="Sex">
  <pivotTables>
    <pivotTable tabId="5" name="PivotTable2"/>
  </pivotTables>
  <data>
    <tabular pivotCacheId="37302713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xr10:uid="{E9E86758-7B3A-4F98-8509-AF3C413E45EC}" cache="Slicer_Sex" caption="Sex"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1" xr10:uid="{E41E1D3F-75F1-48CA-92E3-898CED08C785}" cache="Slicer_Sex" caption="Gender" style="FA_2025_1" rowHeight="25188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B0A5B5-49D9-4A24-A94D-DD4D388532AB}" name="Table1" displayName="Table1" ref="A1:O365" totalsRowShown="0" headerRowDxfId="33" dataDxfId="32" tableBorderDxfId="31">
  <autoFilter ref="A1:O365" xr:uid="{AFB0A5B5-49D9-4A24-A94D-DD4D388532AB}"/>
  <tableColumns count="15">
    <tableColumn id="1" xr3:uid="{3B13065C-9A5C-4E5D-84E8-261D83A2257C}" name="Name" dataDxfId="30"/>
    <tableColumn id="2" xr3:uid="{C2FD8748-8045-47EE-8D3D-0D3712B563FF}" name="M Number" dataDxfId="29"/>
    <tableColumn id="3" xr3:uid="{FB14E0E8-293C-4C07-800A-70E3B73E5B00}" name="SEVIS Number" dataDxfId="28"/>
    <tableColumn id="4" xr3:uid="{513BB691-097D-4845-9F32-ED4CD10C8EDD}" name="SEVIS Status" dataDxfId="27"/>
    <tableColumn id="5" xr3:uid="{AD0AD0CF-36D4-4E4D-B174-FF8EDEBC0822}" name="Visa Type" dataDxfId="26"/>
    <tableColumn id="6" xr3:uid="{F61C6208-CC07-45C3-A961-C4688E3B49FA}" name="Sex" dataDxfId="25"/>
    <tableColumn id="7" xr3:uid="{06E65D73-2D2C-4B5A-AC1B-F32A10A6CAAD}" name="Program of Study" dataDxfId="24"/>
    <tableColumn id="8" xr3:uid="{2CD5E977-9809-42A1-857B-1A7190961D84}" name="Graduate Assistantship" dataDxfId="23"/>
    <tableColumn id="9" xr3:uid="{00826887-6C0D-496D-B21A-48CDCA261178}" name="Scholarship" dataDxfId="22"/>
    <tableColumn id="10" xr3:uid="{61E75522-9A67-4792-9C96-828F288057D1}" name="I-901 Fee" dataDxfId="21"/>
    <tableColumn id="11" xr3:uid="{BDF28FA5-1903-4EE3-99AE-F0F950BF25A7}" name="Visa" dataDxfId="20"/>
    <tableColumn id="12" xr3:uid="{E4F6D212-CAC7-4DF8-BB99-DB3C28907215}" name="Notes" dataDxfId="19"/>
    <tableColumn id="13" xr3:uid="{197074BD-E662-48E9-A288-C172AEB658CC}" name="Country of Birth" dataDxfId="18"/>
    <tableColumn id="14" xr3:uid="{D6CA42E8-8809-4588-9705-37C32145126E}" name="Country of Citizenship" dataDxfId="17"/>
    <tableColumn id="15" xr3:uid="{D83E0FAD-EAC4-4C49-A743-0D7652F7C632}" name="Stage Status" dataDxfId="1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1FC6A0C-FE38-44CB-82B7-1ACF6937E5C4}" name="FA_2025" displayName="FA_2025" ref="A1:O365" tableType="queryTable" totalsRowShown="0" headerRowDxfId="15">
  <autoFilter ref="A1:O365" xr:uid="{91FC6A0C-FE38-44CB-82B7-1ACF6937E5C4}">
    <filterColumn colId="5">
      <filters>
        <filter val="Female"/>
      </filters>
    </filterColumn>
  </autoFilter>
  <tableColumns count="15">
    <tableColumn id="1" xr3:uid="{2D184008-D1AE-44D3-A523-12FB8875A933}" uniqueName="1" name="Name" queryTableFieldId="1" dataDxfId="14"/>
    <tableColumn id="2" xr3:uid="{BCFE00E3-4261-4C77-8B39-62B7C874BFAC}" uniqueName="2" name="M Number" queryTableFieldId="2" dataDxfId="13"/>
    <tableColumn id="3" xr3:uid="{2970F359-7378-49E7-8CC4-33CFE8AAAC0E}" uniqueName="3" name="SEVIS Number" queryTableFieldId="3" dataDxfId="12"/>
    <tableColumn id="4" xr3:uid="{44E60AEB-5B39-4FD0-9DF2-2DF89DE0BBB4}" uniqueName="4" name="SEVIS Status" queryTableFieldId="4" dataDxfId="11"/>
    <tableColumn id="5" xr3:uid="{37ACF3EB-ABD1-44D2-8AA0-373458D0AA47}" uniqueName="5" name="Visa Type" queryTableFieldId="5" dataDxfId="10"/>
    <tableColumn id="6" xr3:uid="{B77B90C4-2A75-46A9-8EA6-B0DCC1787C0F}" uniqueName="6" name="Sex" queryTableFieldId="6" dataDxfId="9"/>
    <tableColumn id="7" xr3:uid="{723E2C3E-62A0-4130-B8F5-74728AB460F7}" uniqueName="7" name="Program of Study" queryTableFieldId="7" dataDxfId="8"/>
    <tableColumn id="8" xr3:uid="{E7A67EAC-4670-4746-B3ED-B1DDEE292DD9}" uniqueName="8" name="Graduate Assistantship" queryTableFieldId="8" dataDxfId="7"/>
    <tableColumn id="9" xr3:uid="{5F2A242D-9526-4710-941B-F1EA8745B123}" uniqueName="9" name="Scholarship" queryTableFieldId="9" dataDxfId="6"/>
    <tableColumn id="10" xr3:uid="{F06C400D-86BA-43E2-8268-600EC869A8D1}" uniqueName="10" name="I-901 Fee" queryTableFieldId="10" dataDxfId="5"/>
    <tableColumn id="11" xr3:uid="{3B09CC52-39A5-4957-84CD-C0EE44DC69EF}" uniqueName="11" name="Visa" queryTableFieldId="11" dataDxfId="4"/>
    <tableColumn id="12" xr3:uid="{FB70BE7E-7CA1-4DD9-94E5-3CCBF6D8126F}" uniqueName="12" name="Notes" queryTableFieldId="12" dataDxfId="3"/>
    <tableColumn id="13" xr3:uid="{A34C155F-F3D4-47FC-A81C-4C16C899D141}" uniqueName="13" name="Country of Birth" queryTableFieldId="13" dataDxfId="2"/>
    <tableColumn id="14" xr3:uid="{9B371834-FB0A-42EC-ACB8-E6D8C84A14E5}" uniqueName="14" name="Country of Citizenship" queryTableFieldId="14" dataDxfId="1"/>
    <tableColumn id="15" xr3:uid="{681BD9D7-CE7E-4845-9D49-447D8E0521E3}" uniqueName="15" name="Stage Status" queryTableFieldId="15" dataDxfId="0"/>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7597-8BB1-4843-8006-B94405E5A7BA}">
  <sheetPr codeName="Sheet2">
    <tabColor rgb="FF5E0009"/>
  </sheetPr>
  <dimension ref="A1:O375"/>
  <sheetViews>
    <sheetView showGridLines="0" zoomScaleNormal="100" workbookViewId="0">
      <pane ySplit="1" topLeftCell="A2" activePane="bottomLeft" state="frozen"/>
      <selection pane="bottomLeft" activeCell="G131" sqref="G131"/>
    </sheetView>
  </sheetViews>
  <sheetFormatPr defaultRowHeight="14.5" x14ac:dyDescent="0.35"/>
  <cols>
    <col min="1" max="1" width="18.90625" customWidth="1"/>
    <col min="2" max="2" width="14.26953125" customWidth="1"/>
    <col min="3" max="3" width="17.81640625" customWidth="1"/>
    <col min="4" max="4" width="16.1796875" bestFit="1" customWidth="1"/>
    <col min="5" max="5" width="13.453125" bestFit="1" customWidth="1"/>
    <col min="6" max="6" width="8.54296875" bestFit="1" customWidth="1"/>
    <col min="7" max="7" width="29.7265625" bestFit="1" customWidth="1"/>
    <col min="8" max="8" width="25.7265625" bestFit="1" customWidth="1"/>
    <col min="9" max="9" width="15.54296875" bestFit="1" customWidth="1"/>
    <col min="10" max="10" width="13.08984375" bestFit="1" customWidth="1"/>
    <col min="11" max="11" width="9" bestFit="1" customWidth="1"/>
    <col min="12" max="12" width="17.1796875" bestFit="1" customWidth="1"/>
    <col min="13" max="13" width="21.54296875" bestFit="1" customWidth="1"/>
    <col min="14" max="14" width="25.1796875" bestFit="1" customWidth="1"/>
    <col min="15" max="15" width="16.08984375" bestFit="1" customWidth="1"/>
  </cols>
  <sheetData>
    <row r="1" spans="1:15" x14ac:dyDescent="0.35">
      <c r="A1" s="3" t="s">
        <v>33</v>
      </c>
      <c r="B1" s="3" t="s">
        <v>34</v>
      </c>
      <c r="C1" s="3" t="s">
        <v>35</v>
      </c>
      <c r="D1" s="3" t="s">
        <v>36</v>
      </c>
      <c r="E1" s="3" t="s">
        <v>37</v>
      </c>
      <c r="F1" s="3" t="s">
        <v>38</v>
      </c>
      <c r="G1" s="3" t="s">
        <v>39</v>
      </c>
      <c r="H1" s="3" t="s">
        <v>40</v>
      </c>
      <c r="I1" s="3" t="s">
        <v>41</v>
      </c>
      <c r="J1" s="3" t="s">
        <v>42</v>
      </c>
      <c r="K1" s="3" t="s">
        <v>43</v>
      </c>
      <c r="L1" s="3" t="s">
        <v>44</v>
      </c>
      <c r="M1" s="3" t="s">
        <v>45</v>
      </c>
      <c r="N1" s="3" t="s">
        <v>46</v>
      </c>
      <c r="O1" s="3" t="s">
        <v>47</v>
      </c>
    </row>
    <row r="2" spans="1:15" x14ac:dyDescent="0.35">
      <c r="A2" s="5" t="s">
        <v>829</v>
      </c>
      <c r="B2" s="6" t="s">
        <v>669</v>
      </c>
      <c r="C2" s="6" t="s">
        <v>305</v>
      </c>
      <c r="D2" s="6" t="s">
        <v>48</v>
      </c>
      <c r="E2" s="6" t="s">
        <v>49</v>
      </c>
      <c r="F2" s="6" t="s">
        <v>55</v>
      </c>
      <c r="G2" s="6" t="s">
        <v>6</v>
      </c>
      <c r="H2" s="6" t="s">
        <v>51</v>
      </c>
      <c r="I2" s="6" t="s">
        <v>52</v>
      </c>
      <c r="J2" s="6" t="s">
        <v>51</v>
      </c>
      <c r="K2" s="6" t="s">
        <v>51</v>
      </c>
      <c r="L2" s="6"/>
      <c r="M2" s="5" t="s">
        <v>56</v>
      </c>
      <c r="N2" s="5" t="s">
        <v>56</v>
      </c>
      <c r="O2" s="6" t="s">
        <v>54</v>
      </c>
    </row>
    <row r="3" spans="1:15" x14ac:dyDescent="0.35">
      <c r="A3" s="5" t="s">
        <v>830</v>
      </c>
      <c r="B3" s="6" t="s">
        <v>812</v>
      </c>
      <c r="C3" s="6" t="s">
        <v>448</v>
      </c>
      <c r="D3" s="6" t="s">
        <v>48</v>
      </c>
      <c r="E3" s="6" t="s">
        <v>49</v>
      </c>
      <c r="F3" s="6" t="s">
        <v>55</v>
      </c>
      <c r="G3" s="6" t="s">
        <v>17</v>
      </c>
      <c r="H3" s="6" t="s">
        <v>52</v>
      </c>
      <c r="I3" s="6" t="s">
        <v>52</v>
      </c>
      <c r="J3" s="6"/>
      <c r="K3" s="6"/>
      <c r="L3" s="6"/>
      <c r="M3" s="5" t="s">
        <v>56</v>
      </c>
      <c r="N3" s="5" t="s">
        <v>56</v>
      </c>
      <c r="O3" s="6" t="s">
        <v>54</v>
      </c>
    </row>
    <row r="4" spans="1:15" x14ac:dyDescent="0.35">
      <c r="A4" s="5" t="s">
        <v>831</v>
      </c>
      <c r="B4" s="6" t="s">
        <v>561</v>
      </c>
      <c r="C4" s="6" t="s">
        <v>197</v>
      </c>
      <c r="D4" s="7" t="s">
        <v>48</v>
      </c>
      <c r="E4" s="7" t="s">
        <v>49</v>
      </c>
      <c r="F4" s="7" t="s">
        <v>55</v>
      </c>
      <c r="G4" s="7" t="s">
        <v>17</v>
      </c>
      <c r="H4" s="7" t="s">
        <v>52</v>
      </c>
      <c r="I4" s="7" t="s">
        <v>52</v>
      </c>
      <c r="J4" s="7" t="s">
        <v>51</v>
      </c>
      <c r="K4" s="7" t="s">
        <v>51</v>
      </c>
      <c r="L4" s="7" t="s">
        <v>76</v>
      </c>
      <c r="M4" s="5" t="s">
        <v>59</v>
      </c>
      <c r="N4" s="5" t="s">
        <v>59</v>
      </c>
      <c r="O4" s="7" t="s">
        <v>54</v>
      </c>
    </row>
    <row r="5" spans="1:15" x14ac:dyDescent="0.35">
      <c r="A5" s="5" t="s">
        <v>832</v>
      </c>
      <c r="B5" s="6" t="s">
        <v>488</v>
      </c>
      <c r="C5" s="6" t="s">
        <v>124</v>
      </c>
      <c r="D5" s="7" t="s">
        <v>48</v>
      </c>
      <c r="E5" s="7" t="s">
        <v>49</v>
      </c>
      <c r="F5" s="7" t="s">
        <v>50</v>
      </c>
      <c r="G5" s="7" t="s">
        <v>22</v>
      </c>
      <c r="H5" s="7" t="s">
        <v>52</v>
      </c>
      <c r="I5" s="7" t="s">
        <v>60</v>
      </c>
      <c r="J5" s="7" t="s">
        <v>51</v>
      </c>
      <c r="K5" s="7"/>
      <c r="L5" s="7"/>
      <c r="M5" s="5" t="s">
        <v>59</v>
      </c>
      <c r="N5" s="5" t="s">
        <v>59</v>
      </c>
      <c r="O5" s="7" t="s">
        <v>54</v>
      </c>
    </row>
    <row r="6" spans="1:15" x14ac:dyDescent="0.35">
      <c r="A6" s="5" t="s">
        <v>829</v>
      </c>
      <c r="B6" s="7" t="s">
        <v>484</v>
      </c>
      <c r="C6" s="7" t="s">
        <v>120</v>
      </c>
      <c r="D6" s="7" t="s">
        <v>48</v>
      </c>
      <c r="E6" s="7" t="s">
        <v>49</v>
      </c>
      <c r="F6" s="7" t="s">
        <v>55</v>
      </c>
      <c r="G6" s="7" t="s">
        <v>0</v>
      </c>
      <c r="H6" s="7" t="s">
        <v>52</v>
      </c>
      <c r="I6" s="7" t="s">
        <v>52</v>
      </c>
      <c r="J6" s="7"/>
      <c r="K6" s="7"/>
      <c r="L6" s="7"/>
      <c r="M6" s="5" t="s">
        <v>56</v>
      </c>
      <c r="N6" s="5" t="s">
        <v>56</v>
      </c>
      <c r="O6" s="7" t="s">
        <v>54</v>
      </c>
    </row>
    <row r="7" spans="1:15" x14ac:dyDescent="0.35">
      <c r="A7" s="5" t="s">
        <v>833</v>
      </c>
      <c r="B7" s="6" t="s">
        <v>738</v>
      </c>
      <c r="C7" s="6" t="s">
        <v>374</v>
      </c>
      <c r="D7" s="7" t="s">
        <v>48</v>
      </c>
      <c r="E7" s="7" t="s">
        <v>49</v>
      </c>
      <c r="F7" s="7" t="s">
        <v>55</v>
      </c>
      <c r="G7" s="7" t="s">
        <v>13</v>
      </c>
      <c r="H7" s="7" t="s">
        <v>52</v>
      </c>
      <c r="I7" s="7" t="s">
        <v>52</v>
      </c>
      <c r="J7" s="7"/>
      <c r="K7" s="7"/>
      <c r="L7" s="7"/>
      <c r="M7" s="5" t="s">
        <v>59</v>
      </c>
      <c r="N7" s="5" t="s">
        <v>59</v>
      </c>
      <c r="O7" s="7" t="s">
        <v>54</v>
      </c>
    </row>
    <row r="8" spans="1:15" x14ac:dyDescent="0.35">
      <c r="A8" s="5" t="s">
        <v>832</v>
      </c>
      <c r="B8" s="6" t="s">
        <v>480</v>
      </c>
      <c r="C8" s="6" t="s">
        <v>116</v>
      </c>
      <c r="D8" s="7" t="s">
        <v>48</v>
      </c>
      <c r="E8" s="7" t="s">
        <v>49</v>
      </c>
      <c r="F8" s="7" t="s">
        <v>50</v>
      </c>
      <c r="G8" s="7" t="s">
        <v>26</v>
      </c>
      <c r="H8" s="7" t="s">
        <v>52</v>
      </c>
      <c r="I8" s="7" t="s">
        <v>60</v>
      </c>
      <c r="J8" s="7"/>
      <c r="K8" s="7"/>
      <c r="L8" s="7"/>
      <c r="M8" s="5" t="s">
        <v>59</v>
      </c>
      <c r="N8" s="5" t="s">
        <v>59</v>
      </c>
      <c r="O8" s="7" t="s">
        <v>54</v>
      </c>
    </row>
    <row r="9" spans="1:15" x14ac:dyDescent="0.35">
      <c r="A9" s="5" t="s">
        <v>833</v>
      </c>
      <c r="B9" s="7" t="s">
        <v>676</v>
      </c>
      <c r="C9" s="7" t="s">
        <v>312</v>
      </c>
      <c r="D9" s="7" t="s">
        <v>48</v>
      </c>
      <c r="E9" s="7" t="s">
        <v>49</v>
      </c>
      <c r="F9" s="7" t="s">
        <v>55</v>
      </c>
      <c r="G9" s="7" t="s">
        <v>29</v>
      </c>
      <c r="H9" s="7" t="s">
        <v>52</v>
      </c>
      <c r="I9" s="7" t="s">
        <v>52</v>
      </c>
      <c r="J9" s="7"/>
      <c r="K9" s="7"/>
      <c r="L9" s="7"/>
      <c r="M9" s="5" t="s">
        <v>59</v>
      </c>
      <c r="N9" s="5" t="s">
        <v>59</v>
      </c>
      <c r="O9" s="7" t="s">
        <v>54</v>
      </c>
    </row>
    <row r="10" spans="1:15" x14ac:dyDescent="0.35">
      <c r="A10" s="5" t="s">
        <v>834</v>
      </c>
      <c r="B10" s="6" t="s">
        <v>528</v>
      </c>
      <c r="C10" s="6" t="s">
        <v>164</v>
      </c>
      <c r="D10" s="6" t="s">
        <v>48</v>
      </c>
      <c r="E10" s="6" t="s">
        <v>49</v>
      </c>
      <c r="F10" s="6" t="s">
        <v>55</v>
      </c>
      <c r="G10" s="6" t="s">
        <v>13</v>
      </c>
      <c r="H10" s="6" t="s">
        <v>51</v>
      </c>
      <c r="I10" s="6" t="s">
        <v>52</v>
      </c>
      <c r="J10" s="6"/>
      <c r="K10" s="6"/>
      <c r="L10" s="6"/>
      <c r="M10" s="5" t="s">
        <v>56</v>
      </c>
      <c r="N10" s="5" t="s">
        <v>56</v>
      </c>
      <c r="O10" s="6" t="s">
        <v>54</v>
      </c>
    </row>
    <row r="11" spans="1:15" x14ac:dyDescent="0.35">
      <c r="A11" s="5" t="s">
        <v>835</v>
      </c>
      <c r="B11" s="6" t="s">
        <v>659</v>
      </c>
      <c r="C11" s="6" t="s">
        <v>295</v>
      </c>
      <c r="D11" s="6" t="s">
        <v>48</v>
      </c>
      <c r="E11" s="6" t="s">
        <v>49</v>
      </c>
      <c r="F11" s="6" t="s">
        <v>55</v>
      </c>
      <c r="G11" s="6" t="s">
        <v>5</v>
      </c>
      <c r="H11" s="6" t="s">
        <v>92</v>
      </c>
      <c r="I11" s="6" t="s">
        <v>52</v>
      </c>
      <c r="J11" s="6"/>
      <c r="K11" s="6"/>
      <c r="L11" s="6"/>
      <c r="M11" s="5" t="s">
        <v>63</v>
      </c>
      <c r="N11" s="5" t="s">
        <v>63</v>
      </c>
      <c r="O11" s="6" t="s">
        <v>54</v>
      </c>
    </row>
    <row r="12" spans="1:15" x14ac:dyDescent="0.35">
      <c r="A12" s="5" t="s">
        <v>836</v>
      </c>
      <c r="B12" s="6" t="s">
        <v>588</v>
      </c>
      <c r="C12" s="6" t="s">
        <v>224</v>
      </c>
      <c r="D12" s="7" t="s">
        <v>48</v>
      </c>
      <c r="E12" s="7" t="s">
        <v>49</v>
      </c>
      <c r="F12" s="7" t="s">
        <v>50</v>
      </c>
      <c r="G12" s="7" t="s">
        <v>5</v>
      </c>
      <c r="H12" s="7" t="s">
        <v>52</v>
      </c>
      <c r="I12" s="7" t="s">
        <v>52</v>
      </c>
      <c r="J12" s="7" t="s">
        <v>51</v>
      </c>
      <c r="K12" s="7"/>
      <c r="L12" s="7" t="s">
        <v>68</v>
      </c>
      <c r="M12" s="5" t="s">
        <v>63</v>
      </c>
      <c r="N12" s="5" t="s">
        <v>63</v>
      </c>
      <c r="O12" s="7" t="s">
        <v>54</v>
      </c>
    </row>
    <row r="13" spans="1:15" x14ac:dyDescent="0.35">
      <c r="A13" s="5" t="s">
        <v>837</v>
      </c>
      <c r="B13" s="6" t="s">
        <v>680</v>
      </c>
      <c r="C13" s="6" t="s">
        <v>316</v>
      </c>
      <c r="D13" s="7" t="s">
        <v>48</v>
      </c>
      <c r="E13" s="7" t="s">
        <v>49</v>
      </c>
      <c r="F13" s="7" t="s">
        <v>55</v>
      </c>
      <c r="G13" s="7" t="s">
        <v>11</v>
      </c>
      <c r="H13" s="7" t="s">
        <v>52</v>
      </c>
      <c r="I13" s="7" t="s">
        <v>60</v>
      </c>
      <c r="J13" s="7"/>
      <c r="K13" s="7"/>
      <c r="L13" s="7"/>
      <c r="M13" s="5" t="s">
        <v>63</v>
      </c>
      <c r="N13" s="5" t="s">
        <v>63</v>
      </c>
      <c r="O13" s="7" t="s">
        <v>54</v>
      </c>
    </row>
    <row r="14" spans="1:15" x14ac:dyDescent="0.35">
      <c r="A14" s="5" t="s">
        <v>838</v>
      </c>
      <c r="B14" s="7" t="s">
        <v>553</v>
      </c>
      <c r="C14" s="7" t="s">
        <v>189</v>
      </c>
      <c r="D14" s="7" t="s">
        <v>48</v>
      </c>
      <c r="E14" s="7" t="s">
        <v>49</v>
      </c>
      <c r="F14" s="7" t="s">
        <v>55</v>
      </c>
      <c r="G14" s="7" t="s">
        <v>9</v>
      </c>
      <c r="H14" s="7" t="s">
        <v>52</v>
      </c>
      <c r="I14" s="7" t="s">
        <v>60</v>
      </c>
      <c r="J14" s="7" t="s">
        <v>51</v>
      </c>
      <c r="K14" s="7"/>
      <c r="L14" s="7" t="s">
        <v>70</v>
      </c>
      <c r="M14" s="5" t="s">
        <v>61</v>
      </c>
      <c r="N14" s="5" t="s">
        <v>61</v>
      </c>
      <c r="O14" s="7" t="s">
        <v>54</v>
      </c>
    </row>
    <row r="15" spans="1:15" x14ac:dyDescent="0.35">
      <c r="A15" s="5" t="s">
        <v>839</v>
      </c>
      <c r="B15" s="6" t="s">
        <v>557</v>
      </c>
      <c r="C15" s="6" t="s">
        <v>193</v>
      </c>
      <c r="D15" s="7" t="s">
        <v>48</v>
      </c>
      <c r="E15" s="7" t="s">
        <v>49</v>
      </c>
      <c r="F15" s="7" t="s">
        <v>55</v>
      </c>
      <c r="G15" s="7" t="s">
        <v>5</v>
      </c>
      <c r="H15" s="7" t="s">
        <v>51</v>
      </c>
      <c r="I15" s="7" t="s">
        <v>52</v>
      </c>
      <c r="J15" s="7" t="s">
        <v>51</v>
      </c>
      <c r="K15" s="7" t="s">
        <v>51</v>
      </c>
      <c r="L15" s="7"/>
      <c r="M15" s="5" t="s">
        <v>59</v>
      </c>
      <c r="N15" s="5" t="s">
        <v>59</v>
      </c>
      <c r="O15" s="7" t="s">
        <v>54</v>
      </c>
    </row>
    <row r="16" spans="1:15" x14ac:dyDescent="0.35">
      <c r="A16" s="5" t="s">
        <v>840</v>
      </c>
      <c r="B16" s="6" t="s">
        <v>648</v>
      </c>
      <c r="C16" s="6" t="s">
        <v>284</v>
      </c>
      <c r="D16" s="6" t="s">
        <v>48</v>
      </c>
      <c r="E16" s="6" t="s">
        <v>49</v>
      </c>
      <c r="F16" s="6" t="s">
        <v>50</v>
      </c>
      <c r="G16" s="6" t="s">
        <v>10</v>
      </c>
      <c r="H16" s="6" t="s">
        <v>52</v>
      </c>
      <c r="I16" s="6" t="s">
        <v>52</v>
      </c>
      <c r="J16" s="6" t="s">
        <v>51</v>
      </c>
      <c r="K16" s="6" t="s">
        <v>51</v>
      </c>
      <c r="L16" s="6" t="s">
        <v>62</v>
      </c>
      <c r="M16" s="5" t="s">
        <v>89</v>
      </c>
      <c r="N16" s="5" t="s">
        <v>89</v>
      </c>
      <c r="O16" s="6" t="s">
        <v>54</v>
      </c>
    </row>
    <row r="17" spans="1:15" x14ac:dyDescent="0.35">
      <c r="A17" s="5" t="s">
        <v>833</v>
      </c>
      <c r="B17" s="6" t="s">
        <v>486</v>
      </c>
      <c r="C17" s="6" t="s">
        <v>122</v>
      </c>
      <c r="D17" s="7" t="s">
        <v>48</v>
      </c>
      <c r="E17" s="7" t="s">
        <v>49</v>
      </c>
      <c r="F17" s="7" t="s">
        <v>55</v>
      </c>
      <c r="G17" s="7" t="s">
        <v>29</v>
      </c>
      <c r="H17" s="7" t="s">
        <v>51</v>
      </c>
      <c r="I17" s="7" t="s">
        <v>52</v>
      </c>
      <c r="J17" s="7"/>
      <c r="K17" s="7"/>
      <c r="L17" s="7"/>
      <c r="M17" s="5" t="s">
        <v>59</v>
      </c>
      <c r="N17" s="5" t="s">
        <v>59</v>
      </c>
      <c r="O17" s="7" t="s">
        <v>54</v>
      </c>
    </row>
    <row r="18" spans="1:15" x14ac:dyDescent="0.35">
      <c r="A18" s="5" t="s">
        <v>841</v>
      </c>
      <c r="B18" s="6" t="s">
        <v>522</v>
      </c>
      <c r="C18" s="6" t="s">
        <v>158</v>
      </c>
      <c r="D18" s="6" t="s">
        <v>48</v>
      </c>
      <c r="E18" s="6" t="s">
        <v>49</v>
      </c>
      <c r="F18" s="6" t="s">
        <v>50</v>
      </c>
      <c r="G18" s="6" t="s">
        <v>8</v>
      </c>
      <c r="H18" s="6" t="s">
        <v>51</v>
      </c>
      <c r="I18" s="6" t="s">
        <v>52</v>
      </c>
      <c r="J18" s="6" t="s">
        <v>51</v>
      </c>
      <c r="K18" s="6"/>
      <c r="L18" s="6"/>
      <c r="M18" s="5" t="s">
        <v>57</v>
      </c>
      <c r="N18" s="5" t="s">
        <v>57</v>
      </c>
      <c r="O18" s="6" t="s">
        <v>54</v>
      </c>
    </row>
    <row r="19" spans="1:15" x14ac:dyDescent="0.35">
      <c r="A19" s="5" t="s">
        <v>842</v>
      </c>
      <c r="B19" s="7" t="s">
        <v>721</v>
      </c>
      <c r="C19" s="7" t="s">
        <v>357</v>
      </c>
      <c r="D19" s="6" t="s">
        <v>48</v>
      </c>
      <c r="E19" s="6" t="s">
        <v>49</v>
      </c>
      <c r="F19" s="6" t="s">
        <v>55</v>
      </c>
      <c r="G19" s="6" t="s">
        <v>24</v>
      </c>
      <c r="H19" s="6" t="s">
        <v>52</v>
      </c>
      <c r="I19" s="6" t="s">
        <v>52</v>
      </c>
      <c r="J19" s="6"/>
      <c r="K19" s="6"/>
      <c r="L19" s="6"/>
      <c r="M19" s="5" t="s">
        <v>57</v>
      </c>
      <c r="N19" s="5" t="s">
        <v>57</v>
      </c>
      <c r="O19" s="6" t="s">
        <v>54</v>
      </c>
    </row>
    <row r="20" spans="1:15" x14ac:dyDescent="0.35">
      <c r="A20" s="5" t="s">
        <v>843</v>
      </c>
      <c r="B20" s="7" t="s">
        <v>640</v>
      </c>
      <c r="C20" s="7" t="s">
        <v>276</v>
      </c>
      <c r="D20" s="6" t="s">
        <v>48</v>
      </c>
      <c r="E20" s="6" t="s">
        <v>49</v>
      </c>
      <c r="F20" s="6" t="s">
        <v>50</v>
      </c>
      <c r="G20" s="6" t="s">
        <v>5</v>
      </c>
      <c r="H20" s="6" t="s">
        <v>52</v>
      </c>
      <c r="I20" s="6" t="s">
        <v>52</v>
      </c>
      <c r="J20" s="6"/>
      <c r="K20" s="6"/>
      <c r="L20" s="6"/>
      <c r="M20" s="5" t="s">
        <v>67</v>
      </c>
      <c r="N20" s="5" t="s">
        <v>67</v>
      </c>
      <c r="O20" s="6" t="s">
        <v>54</v>
      </c>
    </row>
    <row r="21" spans="1:15" x14ac:dyDescent="0.35">
      <c r="A21" s="5" t="s">
        <v>844</v>
      </c>
      <c r="B21" s="7" t="s">
        <v>760</v>
      </c>
      <c r="C21" s="7" t="s">
        <v>396</v>
      </c>
      <c r="D21" s="7" t="s">
        <v>48</v>
      </c>
      <c r="E21" s="7" t="s">
        <v>49</v>
      </c>
      <c r="F21" s="7" t="s">
        <v>50</v>
      </c>
      <c r="G21" s="7" t="s">
        <v>16</v>
      </c>
      <c r="H21" s="7" t="s">
        <v>52</v>
      </c>
      <c r="I21" s="7" t="s">
        <v>60</v>
      </c>
      <c r="J21" s="7"/>
      <c r="K21" s="7"/>
      <c r="L21" s="7"/>
      <c r="M21" s="5" t="s">
        <v>63</v>
      </c>
      <c r="N21" s="5" t="s">
        <v>63</v>
      </c>
      <c r="O21" s="7" t="s">
        <v>54</v>
      </c>
    </row>
    <row r="22" spans="1:15" x14ac:dyDescent="0.35">
      <c r="A22" s="5" t="s">
        <v>845</v>
      </c>
      <c r="B22" s="7" t="s">
        <v>769</v>
      </c>
      <c r="C22" s="7" t="s">
        <v>405</v>
      </c>
      <c r="D22" s="6" t="s">
        <v>48</v>
      </c>
      <c r="E22" s="6" t="s">
        <v>49</v>
      </c>
      <c r="F22" s="6" t="s">
        <v>55</v>
      </c>
      <c r="G22" s="6" t="s">
        <v>28</v>
      </c>
      <c r="H22" s="6" t="s">
        <v>51</v>
      </c>
      <c r="I22" s="6" t="s">
        <v>52</v>
      </c>
      <c r="J22" s="6" t="s">
        <v>51</v>
      </c>
      <c r="K22" s="6"/>
      <c r="L22" s="6"/>
      <c r="M22" s="5" t="s">
        <v>57</v>
      </c>
      <c r="N22" s="5" t="s">
        <v>57</v>
      </c>
      <c r="O22" s="6" t="s">
        <v>54</v>
      </c>
    </row>
    <row r="23" spans="1:15" x14ac:dyDescent="0.35">
      <c r="A23" s="5" t="s">
        <v>846</v>
      </c>
      <c r="B23" s="6" t="s">
        <v>482</v>
      </c>
      <c r="C23" s="6" t="s">
        <v>118</v>
      </c>
      <c r="D23" s="7" t="s">
        <v>48</v>
      </c>
      <c r="E23" s="7" t="s">
        <v>49</v>
      </c>
      <c r="F23" s="7" t="s">
        <v>50</v>
      </c>
      <c r="G23" s="7" t="s">
        <v>5</v>
      </c>
      <c r="H23" s="7" t="s">
        <v>52</v>
      </c>
      <c r="I23" s="7" t="s">
        <v>60</v>
      </c>
      <c r="J23" s="7"/>
      <c r="K23" s="7"/>
      <c r="L23" s="7"/>
      <c r="M23" s="5" t="s">
        <v>57</v>
      </c>
      <c r="N23" s="5" t="s">
        <v>57</v>
      </c>
      <c r="O23" s="7" t="s">
        <v>54</v>
      </c>
    </row>
    <row r="24" spans="1:15" x14ac:dyDescent="0.35">
      <c r="A24" s="5" t="s">
        <v>847</v>
      </c>
      <c r="B24" s="6" t="s">
        <v>708</v>
      </c>
      <c r="C24" s="6" t="s">
        <v>344</v>
      </c>
      <c r="D24" s="6" t="s">
        <v>48</v>
      </c>
      <c r="E24" s="6" t="s">
        <v>49</v>
      </c>
      <c r="F24" s="6" t="s">
        <v>55</v>
      </c>
      <c r="G24" s="6" t="s">
        <v>26</v>
      </c>
      <c r="H24" s="6" t="s">
        <v>52</v>
      </c>
      <c r="I24" s="6" t="s">
        <v>52</v>
      </c>
      <c r="J24" s="6"/>
      <c r="K24" s="6"/>
      <c r="L24" s="6"/>
      <c r="M24" s="5" t="s">
        <v>67</v>
      </c>
      <c r="N24" s="5" t="s">
        <v>67</v>
      </c>
      <c r="O24" s="6" t="s">
        <v>54</v>
      </c>
    </row>
    <row r="25" spans="1:15" x14ac:dyDescent="0.35">
      <c r="A25" s="5" t="s">
        <v>848</v>
      </c>
      <c r="B25" s="6" t="s">
        <v>471</v>
      </c>
      <c r="C25" s="6" t="s">
        <v>107</v>
      </c>
      <c r="D25" s="6" t="s">
        <v>48</v>
      </c>
      <c r="E25" s="6" t="s">
        <v>49</v>
      </c>
      <c r="F25" s="6" t="s">
        <v>50</v>
      </c>
      <c r="G25" s="6" t="s">
        <v>5</v>
      </c>
      <c r="H25" s="6" t="s">
        <v>52</v>
      </c>
      <c r="I25" s="6" t="s">
        <v>52</v>
      </c>
      <c r="J25" s="6" t="s">
        <v>51</v>
      </c>
      <c r="K25" s="6"/>
      <c r="L25" s="6"/>
      <c r="M25" s="5" t="s">
        <v>56</v>
      </c>
      <c r="N25" s="5" t="s">
        <v>56</v>
      </c>
      <c r="O25" s="6" t="s">
        <v>54</v>
      </c>
    </row>
    <row r="26" spans="1:15" x14ac:dyDescent="0.35">
      <c r="A26" s="5" t="s">
        <v>849</v>
      </c>
      <c r="B26" s="7" t="s">
        <v>754</v>
      </c>
      <c r="C26" s="7" t="s">
        <v>390</v>
      </c>
      <c r="D26" s="7" t="s">
        <v>48</v>
      </c>
      <c r="E26" s="7" t="s">
        <v>49</v>
      </c>
      <c r="F26" s="7" t="s">
        <v>55</v>
      </c>
      <c r="G26" s="7" t="s">
        <v>9</v>
      </c>
      <c r="H26" s="7" t="s">
        <v>52</v>
      </c>
      <c r="I26" s="7" t="s">
        <v>52</v>
      </c>
      <c r="J26" s="7"/>
      <c r="K26" s="7"/>
      <c r="L26" s="7"/>
      <c r="M26" s="5" t="s">
        <v>59</v>
      </c>
      <c r="N26" s="5" t="s">
        <v>59</v>
      </c>
      <c r="O26" s="7" t="s">
        <v>54</v>
      </c>
    </row>
    <row r="27" spans="1:15" x14ac:dyDescent="0.35">
      <c r="A27" s="5" t="s">
        <v>850</v>
      </c>
      <c r="B27" s="6" t="s">
        <v>698</v>
      </c>
      <c r="C27" s="6" t="s">
        <v>334</v>
      </c>
      <c r="D27" s="6" t="s">
        <v>48</v>
      </c>
      <c r="E27" s="6" t="s">
        <v>49</v>
      </c>
      <c r="F27" s="6" t="s">
        <v>50</v>
      </c>
      <c r="G27" s="6" t="s">
        <v>3</v>
      </c>
      <c r="H27" s="6" t="s">
        <v>51</v>
      </c>
      <c r="I27" s="6" t="s">
        <v>52</v>
      </c>
      <c r="J27" s="6" t="s">
        <v>51</v>
      </c>
      <c r="K27" s="6" t="s">
        <v>51</v>
      </c>
      <c r="L27" s="6"/>
      <c r="M27" s="5" t="s">
        <v>57</v>
      </c>
      <c r="N27" s="5" t="s">
        <v>57</v>
      </c>
      <c r="O27" s="6" t="s">
        <v>54</v>
      </c>
    </row>
    <row r="28" spans="1:15" x14ac:dyDescent="0.35">
      <c r="A28" s="5" t="s">
        <v>851</v>
      </c>
      <c r="B28" s="6" t="s">
        <v>638</v>
      </c>
      <c r="C28" s="6" t="s">
        <v>274</v>
      </c>
      <c r="D28" s="6" t="s">
        <v>48</v>
      </c>
      <c r="E28" s="6" t="s">
        <v>49</v>
      </c>
      <c r="F28" s="6" t="s">
        <v>55</v>
      </c>
      <c r="G28" s="6" t="s">
        <v>29</v>
      </c>
      <c r="H28" s="6" t="s">
        <v>52</v>
      </c>
      <c r="I28" s="6" t="s">
        <v>52</v>
      </c>
      <c r="J28" s="6"/>
      <c r="K28" s="6"/>
      <c r="L28" s="6"/>
      <c r="M28" s="5" t="s">
        <v>67</v>
      </c>
      <c r="N28" s="5" t="s">
        <v>67</v>
      </c>
      <c r="O28" s="6" t="s">
        <v>54</v>
      </c>
    </row>
    <row r="29" spans="1:15" x14ac:dyDescent="0.35">
      <c r="A29" s="5" t="s">
        <v>837</v>
      </c>
      <c r="B29" s="7" t="s">
        <v>784</v>
      </c>
      <c r="C29" s="7" t="s">
        <v>420</v>
      </c>
      <c r="D29" s="7" t="s">
        <v>48</v>
      </c>
      <c r="E29" s="7" t="s">
        <v>49</v>
      </c>
      <c r="F29" s="7" t="s">
        <v>55</v>
      </c>
      <c r="G29" s="7" t="s">
        <v>5</v>
      </c>
      <c r="H29" s="7" t="s">
        <v>52</v>
      </c>
      <c r="I29" s="7" t="s">
        <v>52</v>
      </c>
      <c r="J29" s="7"/>
      <c r="K29" s="7"/>
      <c r="L29" s="7"/>
      <c r="M29" s="5" t="s">
        <v>63</v>
      </c>
      <c r="N29" s="5" t="s">
        <v>63</v>
      </c>
      <c r="O29" s="7" t="s">
        <v>54</v>
      </c>
    </row>
    <row r="30" spans="1:15" x14ac:dyDescent="0.35">
      <c r="A30" s="5" t="s">
        <v>852</v>
      </c>
      <c r="B30" s="6" t="s">
        <v>825</v>
      </c>
      <c r="C30" s="6" t="s">
        <v>461</v>
      </c>
      <c r="D30" s="7" t="s">
        <v>48</v>
      </c>
      <c r="E30" s="7" t="s">
        <v>49</v>
      </c>
      <c r="F30" s="7" t="s">
        <v>50</v>
      </c>
      <c r="G30" s="7" t="s">
        <v>0</v>
      </c>
      <c r="H30" s="7" t="s">
        <v>51</v>
      </c>
      <c r="I30" s="7" t="s">
        <v>52</v>
      </c>
      <c r="J30" s="7" t="s">
        <v>51</v>
      </c>
      <c r="K30" s="7" t="s">
        <v>51</v>
      </c>
      <c r="L30" s="7"/>
      <c r="M30" s="5" t="s">
        <v>53</v>
      </c>
      <c r="N30" s="5" t="s">
        <v>53</v>
      </c>
      <c r="O30" s="7" t="s">
        <v>54</v>
      </c>
    </row>
    <row r="31" spans="1:15" x14ac:dyDescent="0.35">
      <c r="A31" s="5" t="s">
        <v>831</v>
      </c>
      <c r="B31" s="6" t="s">
        <v>660</v>
      </c>
      <c r="C31" s="6" t="s">
        <v>296</v>
      </c>
      <c r="D31" s="7" t="s">
        <v>48</v>
      </c>
      <c r="E31" s="7" t="s">
        <v>49</v>
      </c>
      <c r="F31" s="7" t="s">
        <v>55</v>
      </c>
      <c r="G31" s="7" t="s">
        <v>9</v>
      </c>
      <c r="H31" s="7" t="s">
        <v>52</v>
      </c>
      <c r="I31" s="7" t="s">
        <v>52</v>
      </c>
      <c r="J31" s="7"/>
      <c r="K31" s="7"/>
      <c r="L31" s="7"/>
      <c r="M31" s="5" t="s">
        <v>59</v>
      </c>
      <c r="N31" s="5" t="s">
        <v>59</v>
      </c>
      <c r="O31" s="7" t="s">
        <v>54</v>
      </c>
    </row>
    <row r="32" spans="1:15" x14ac:dyDescent="0.35">
      <c r="A32" s="5" t="s">
        <v>853</v>
      </c>
      <c r="B32" s="7" t="s">
        <v>820</v>
      </c>
      <c r="C32" s="7" t="s">
        <v>456</v>
      </c>
      <c r="D32" s="6" t="s">
        <v>48</v>
      </c>
      <c r="E32" s="6" t="s">
        <v>49</v>
      </c>
      <c r="F32" s="6" t="s">
        <v>55</v>
      </c>
      <c r="G32" s="6" t="s">
        <v>9</v>
      </c>
      <c r="H32" s="6" t="s">
        <v>52</v>
      </c>
      <c r="I32" s="6" t="s">
        <v>52</v>
      </c>
      <c r="J32" s="6" t="s">
        <v>51</v>
      </c>
      <c r="K32" s="6" t="s">
        <v>51</v>
      </c>
      <c r="L32" s="6"/>
      <c r="M32" s="5" t="s">
        <v>53</v>
      </c>
      <c r="N32" s="5" t="s">
        <v>53</v>
      </c>
      <c r="O32" s="6" t="s">
        <v>54</v>
      </c>
    </row>
    <row r="33" spans="1:15" x14ac:dyDescent="0.35">
      <c r="A33" s="5" t="s">
        <v>854</v>
      </c>
      <c r="B33" s="7" t="s">
        <v>514</v>
      </c>
      <c r="C33" s="7" t="s">
        <v>150</v>
      </c>
      <c r="D33" s="6" t="s">
        <v>48</v>
      </c>
      <c r="E33" s="6" t="s">
        <v>49</v>
      </c>
      <c r="F33" s="6" t="s">
        <v>50</v>
      </c>
      <c r="G33" s="6" t="s">
        <v>13</v>
      </c>
      <c r="H33" s="6" t="s">
        <v>52</v>
      </c>
      <c r="I33" s="6" t="s">
        <v>52</v>
      </c>
      <c r="J33" s="6"/>
      <c r="K33" s="6"/>
      <c r="L33" s="6"/>
      <c r="M33" s="5" t="s">
        <v>69</v>
      </c>
      <c r="N33" s="5" t="s">
        <v>69</v>
      </c>
      <c r="O33" s="6"/>
    </row>
    <row r="34" spans="1:15" x14ac:dyDescent="0.35">
      <c r="A34" s="5" t="s">
        <v>846</v>
      </c>
      <c r="B34" s="7" t="s">
        <v>670</v>
      </c>
      <c r="C34" s="7" t="s">
        <v>306</v>
      </c>
      <c r="D34" s="7" t="s">
        <v>48</v>
      </c>
      <c r="E34" s="7" t="s">
        <v>49</v>
      </c>
      <c r="F34" s="7" t="s">
        <v>50</v>
      </c>
      <c r="G34" s="7" t="s">
        <v>26</v>
      </c>
      <c r="H34" s="7" t="s">
        <v>52</v>
      </c>
      <c r="I34" s="7" t="s">
        <v>52</v>
      </c>
      <c r="J34" s="7"/>
      <c r="K34" s="7"/>
      <c r="L34" s="7"/>
      <c r="M34" s="5" t="s">
        <v>57</v>
      </c>
      <c r="N34" s="5" t="s">
        <v>57</v>
      </c>
      <c r="O34" s="7" t="s">
        <v>54</v>
      </c>
    </row>
    <row r="35" spans="1:15" x14ac:dyDescent="0.35">
      <c r="A35" s="5" t="s">
        <v>839</v>
      </c>
      <c r="B35" s="7" t="s">
        <v>469</v>
      </c>
      <c r="C35" s="7" t="s">
        <v>105</v>
      </c>
      <c r="D35" s="6" t="s">
        <v>48</v>
      </c>
      <c r="E35" s="6" t="s">
        <v>49</v>
      </c>
      <c r="F35" s="6" t="s">
        <v>55</v>
      </c>
      <c r="G35" s="6" t="s">
        <v>26</v>
      </c>
      <c r="H35" s="6" t="s">
        <v>52</v>
      </c>
      <c r="I35" s="6" t="s">
        <v>52</v>
      </c>
      <c r="J35" s="6"/>
      <c r="K35" s="6"/>
      <c r="L35" s="6"/>
      <c r="M35" s="5" t="s">
        <v>59</v>
      </c>
      <c r="N35" s="5" t="s">
        <v>59</v>
      </c>
      <c r="O35" s="6" t="s">
        <v>54</v>
      </c>
    </row>
    <row r="36" spans="1:15" x14ac:dyDescent="0.35">
      <c r="A36" s="5" t="s">
        <v>855</v>
      </c>
      <c r="B36" s="6" t="s">
        <v>507</v>
      </c>
      <c r="C36" s="6" t="s">
        <v>143</v>
      </c>
      <c r="D36" s="6" t="s">
        <v>48</v>
      </c>
      <c r="E36" s="6" t="s">
        <v>49</v>
      </c>
      <c r="F36" s="6" t="s">
        <v>55</v>
      </c>
      <c r="G36" s="6" t="s">
        <v>5</v>
      </c>
      <c r="H36" s="6" t="s">
        <v>52</v>
      </c>
      <c r="I36" s="6" t="s">
        <v>52</v>
      </c>
      <c r="J36" s="6"/>
      <c r="K36" s="6"/>
      <c r="L36" s="6"/>
      <c r="M36" s="5" t="s">
        <v>57</v>
      </c>
      <c r="N36" s="5" t="s">
        <v>57</v>
      </c>
      <c r="O36" s="6" t="s">
        <v>54</v>
      </c>
    </row>
    <row r="37" spans="1:15" x14ac:dyDescent="0.35">
      <c r="A37" s="5" t="s">
        <v>856</v>
      </c>
      <c r="B37" s="6" t="s">
        <v>789</v>
      </c>
      <c r="C37" s="6" t="s">
        <v>425</v>
      </c>
      <c r="D37" s="7" t="s">
        <v>48</v>
      </c>
      <c r="E37" s="7" t="s">
        <v>49</v>
      </c>
      <c r="F37" s="7" t="s">
        <v>50</v>
      </c>
      <c r="G37" s="7" t="s">
        <v>18</v>
      </c>
      <c r="H37" s="7" t="s">
        <v>52</v>
      </c>
      <c r="I37" s="7" t="s">
        <v>52</v>
      </c>
      <c r="J37" s="7"/>
      <c r="K37" s="7"/>
      <c r="L37" s="7"/>
      <c r="M37" s="5" t="s">
        <v>61</v>
      </c>
      <c r="N37" s="5" t="s">
        <v>61</v>
      </c>
      <c r="O37" s="7" t="s">
        <v>54</v>
      </c>
    </row>
    <row r="38" spans="1:15" x14ac:dyDescent="0.35">
      <c r="A38" s="5" t="s">
        <v>857</v>
      </c>
      <c r="B38" s="6" t="s">
        <v>714</v>
      </c>
      <c r="C38" s="6" t="s">
        <v>350</v>
      </c>
      <c r="D38" s="7" t="s">
        <v>48</v>
      </c>
      <c r="E38" s="7" t="s">
        <v>49</v>
      </c>
      <c r="F38" s="7" t="s">
        <v>50</v>
      </c>
      <c r="G38" s="7" t="s">
        <v>4</v>
      </c>
      <c r="H38" s="7" t="s">
        <v>52</v>
      </c>
      <c r="I38" s="7" t="s">
        <v>52</v>
      </c>
      <c r="J38" s="7"/>
      <c r="K38" s="7"/>
      <c r="L38" s="7"/>
      <c r="M38" s="5" t="s">
        <v>67</v>
      </c>
      <c r="N38" s="5" t="s">
        <v>67</v>
      </c>
      <c r="O38" s="7" t="s">
        <v>54</v>
      </c>
    </row>
    <row r="39" spans="1:15" x14ac:dyDescent="0.35">
      <c r="A39" s="5" t="s">
        <v>847</v>
      </c>
      <c r="B39" s="6" t="s">
        <v>678</v>
      </c>
      <c r="C39" s="6" t="s">
        <v>314</v>
      </c>
      <c r="D39" s="7" t="s">
        <v>48</v>
      </c>
      <c r="E39" s="7" t="s">
        <v>49</v>
      </c>
      <c r="F39" s="7" t="s">
        <v>55</v>
      </c>
      <c r="G39" s="7" t="s">
        <v>9</v>
      </c>
      <c r="H39" s="7" t="s">
        <v>52</v>
      </c>
      <c r="I39" s="7" t="s">
        <v>60</v>
      </c>
      <c r="J39" s="7"/>
      <c r="K39" s="7"/>
      <c r="L39" s="7"/>
      <c r="M39" s="5" t="s">
        <v>67</v>
      </c>
      <c r="N39" s="5" t="s">
        <v>67</v>
      </c>
      <c r="O39" s="7" t="s">
        <v>54</v>
      </c>
    </row>
    <row r="40" spans="1:15" x14ac:dyDescent="0.35">
      <c r="A40" s="5" t="s">
        <v>858</v>
      </c>
      <c r="B40" s="6" t="s">
        <v>552</v>
      </c>
      <c r="C40" s="6" t="s">
        <v>188</v>
      </c>
      <c r="D40" s="6" t="s">
        <v>48</v>
      </c>
      <c r="E40" s="6" t="s">
        <v>49</v>
      </c>
      <c r="F40" s="6" t="s">
        <v>50</v>
      </c>
      <c r="G40" s="6" t="s">
        <v>5</v>
      </c>
      <c r="H40" s="6" t="s">
        <v>52</v>
      </c>
      <c r="I40" s="6" t="s">
        <v>52</v>
      </c>
      <c r="J40" s="6" t="s">
        <v>51</v>
      </c>
      <c r="K40" s="6" t="s">
        <v>51</v>
      </c>
      <c r="L40" s="6"/>
      <c r="M40" s="5" t="s">
        <v>74</v>
      </c>
      <c r="N40" s="5" t="s">
        <v>74</v>
      </c>
      <c r="O40" s="6" t="s">
        <v>54</v>
      </c>
    </row>
    <row r="41" spans="1:15" x14ac:dyDescent="0.35">
      <c r="A41" s="5" t="s">
        <v>859</v>
      </c>
      <c r="B41" s="6" t="s">
        <v>743</v>
      </c>
      <c r="C41" s="6" t="s">
        <v>379</v>
      </c>
      <c r="D41" s="6" t="s">
        <v>48</v>
      </c>
      <c r="E41" s="6" t="s">
        <v>49</v>
      </c>
      <c r="F41" s="6" t="s">
        <v>50</v>
      </c>
      <c r="G41" s="6" t="s">
        <v>18</v>
      </c>
      <c r="H41" s="6" t="s">
        <v>52</v>
      </c>
      <c r="I41" s="6" t="s">
        <v>52</v>
      </c>
      <c r="J41" s="6"/>
      <c r="K41" s="6"/>
      <c r="L41" s="6"/>
      <c r="M41" s="5" t="s">
        <v>59</v>
      </c>
      <c r="N41" s="5" t="s">
        <v>59</v>
      </c>
      <c r="O41" s="6" t="s">
        <v>54</v>
      </c>
    </row>
    <row r="42" spans="1:15" x14ac:dyDescent="0.35">
      <c r="A42" s="5" t="s">
        <v>860</v>
      </c>
      <c r="B42" s="6" t="s">
        <v>531</v>
      </c>
      <c r="C42" s="6" t="s">
        <v>167</v>
      </c>
      <c r="D42" s="7" t="s">
        <v>48</v>
      </c>
      <c r="E42" s="7" t="s">
        <v>49</v>
      </c>
      <c r="F42" s="7" t="s">
        <v>55</v>
      </c>
      <c r="G42" s="7" t="s">
        <v>9</v>
      </c>
      <c r="H42" s="7" t="s">
        <v>52</v>
      </c>
      <c r="I42" s="7" t="s">
        <v>60</v>
      </c>
      <c r="J42" s="7"/>
      <c r="K42" s="7"/>
      <c r="L42" s="7"/>
      <c r="M42" s="5" t="s">
        <v>63</v>
      </c>
      <c r="N42" s="5" t="s">
        <v>63</v>
      </c>
      <c r="O42" s="7" t="s">
        <v>54</v>
      </c>
    </row>
    <row r="43" spans="1:15" x14ac:dyDescent="0.35">
      <c r="A43" s="5" t="s">
        <v>851</v>
      </c>
      <c r="B43" s="6" t="s">
        <v>804</v>
      </c>
      <c r="C43" s="6" t="s">
        <v>440</v>
      </c>
      <c r="D43" s="6" t="s">
        <v>48</v>
      </c>
      <c r="E43" s="6" t="s">
        <v>49</v>
      </c>
      <c r="F43" s="6" t="s">
        <v>55</v>
      </c>
      <c r="G43" s="6" t="s">
        <v>5</v>
      </c>
      <c r="H43" s="6" t="s">
        <v>51</v>
      </c>
      <c r="I43" s="6" t="s">
        <v>52</v>
      </c>
      <c r="J43" s="6" t="s">
        <v>51</v>
      </c>
      <c r="K43" s="6" t="s">
        <v>51</v>
      </c>
      <c r="L43" s="6"/>
      <c r="M43" s="5" t="s">
        <v>67</v>
      </c>
      <c r="N43" s="5" t="s">
        <v>67</v>
      </c>
      <c r="O43" s="6" t="s">
        <v>54</v>
      </c>
    </row>
    <row r="44" spans="1:15" x14ac:dyDescent="0.35">
      <c r="A44" s="5" t="s">
        <v>837</v>
      </c>
      <c r="B44" s="6" t="s">
        <v>555</v>
      </c>
      <c r="C44" s="6" t="s">
        <v>191</v>
      </c>
      <c r="D44" s="7" t="s">
        <v>48</v>
      </c>
      <c r="E44" s="7" t="s">
        <v>49</v>
      </c>
      <c r="F44" s="7" t="s">
        <v>55</v>
      </c>
      <c r="G44" s="7" t="s">
        <v>26</v>
      </c>
      <c r="H44" s="7" t="s">
        <v>52</v>
      </c>
      <c r="I44" s="7" t="s">
        <v>60</v>
      </c>
      <c r="J44" s="7"/>
      <c r="K44" s="7"/>
      <c r="L44" s="7"/>
      <c r="M44" s="5" t="s">
        <v>63</v>
      </c>
      <c r="N44" s="5" t="s">
        <v>63</v>
      </c>
      <c r="O44" s="7" t="s">
        <v>54</v>
      </c>
    </row>
    <row r="45" spans="1:15" x14ac:dyDescent="0.35">
      <c r="A45" s="5" t="s">
        <v>857</v>
      </c>
      <c r="B45" s="6" t="s">
        <v>656</v>
      </c>
      <c r="C45" s="6" t="s">
        <v>292</v>
      </c>
      <c r="D45" s="6" t="s">
        <v>48</v>
      </c>
      <c r="E45" s="6" t="s">
        <v>49</v>
      </c>
      <c r="F45" s="6" t="s">
        <v>50</v>
      </c>
      <c r="G45" s="6" t="s">
        <v>5</v>
      </c>
      <c r="H45" s="6" t="s">
        <v>52</v>
      </c>
      <c r="I45" s="6" t="s">
        <v>60</v>
      </c>
      <c r="J45" s="6"/>
      <c r="K45" s="6"/>
      <c r="L45" s="6"/>
      <c r="M45" s="5" t="s">
        <v>67</v>
      </c>
      <c r="N45" s="5" t="s">
        <v>67</v>
      </c>
      <c r="O45" s="6" t="s">
        <v>54</v>
      </c>
    </row>
    <row r="46" spans="1:15" x14ac:dyDescent="0.35">
      <c r="A46" s="5" t="s">
        <v>861</v>
      </c>
      <c r="B46" s="7" t="s">
        <v>595</v>
      </c>
      <c r="C46" s="7" t="s">
        <v>231</v>
      </c>
      <c r="D46" s="6" t="s">
        <v>48</v>
      </c>
      <c r="E46" s="6" t="s">
        <v>49</v>
      </c>
      <c r="F46" s="6" t="s">
        <v>50</v>
      </c>
      <c r="G46" s="6" t="s">
        <v>1</v>
      </c>
      <c r="H46" s="6" t="s">
        <v>52</v>
      </c>
      <c r="I46" s="6" t="s">
        <v>52</v>
      </c>
      <c r="J46" s="6" t="s">
        <v>51</v>
      </c>
      <c r="K46" s="6"/>
      <c r="L46" s="6"/>
      <c r="M46" s="5" t="s">
        <v>59</v>
      </c>
      <c r="N46" s="5" t="s">
        <v>59</v>
      </c>
      <c r="O46" s="6" t="s">
        <v>54</v>
      </c>
    </row>
    <row r="47" spans="1:15" x14ac:dyDescent="0.35">
      <c r="A47" s="5" t="s">
        <v>835</v>
      </c>
      <c r="B47" s="7" t="s">
        <v>790</v>
      </c>
      <c r="C47" s="7" t="s">
        <v>426</v>
      </c>
      <c r="D47" s="6" t="s">
        <v>48</v>
      </c>
      <c r="E47" s="6" t="s">
        <v>49</v>
      </c>
      <c r="F47" s="6" t="s">
        <v>55</v>
      </c>
      <c r="G47" s="6" t="s">
        <v>26</v>
      </c>
      <c r="H47" s="6" t="s">
        <v>52</v>
      </c>
      <c r="I47" s="6" t="s">
        <v>52</v>
      </c>
      <c r="J47" s="6"/>
      <c r="K47" s="6"/>
      <c r="L47" s="6"/>
      <c r="M47" s="5" t="s">
        <v>63</v>
      </c>
      <c r="N47" s="5" t="s">
        <v>63</v>
      </c>
      <c r="O47" s="6" t="s">
        <v>54</v>
      </c>
    </row>
    <row r="48" spans="1:15" x14ac:dyDescent="0.35">
      <c r="A48" s="5" t="s">
        <v>862</v>
      </c>
      <c r="B48" s="6" t="s">
        <v>644</v>
      </c>
      <c r="C48" s="6" t="s">
        <v>280</v>
      </c>
      <c r="D48" s="6" t="s">
        <v>48</v>
      </c>
      <c r="E48" s="6" t="s">
        <v>49</v>
      </c>
      <c r="F48" s="6" t="s">
        <v>55</v>
      </c>
      <c r="G48" s="6" t="s">
        <v>9</v>
      </c>
      <c r="H48" s="6" t="s">
        <v>52</v>
      </c>
      <c r="I48" s="6" t="s">
        <v>52</v>
      </c>
      <c r="J48" s="6" t="s">
        <v>51</v>
      </c>
      <c r="K48" s="6"/>
      <c r="L48" s="6"/>
      <c r="M48" s="5" t="s">
        <v>67</v>
      </c>
      <c r="N48" s="5" t="s">
        <v>67</v>
      </c>
      <c r="O48" s="6" t="s">
        <v>54</v>
      </c>
    </row>
    <row r="49" spans="1:15" x14ac:dyDescent="0.35">
      <c r="A49" s="5" t="s">
        <v>848</v>
      </c>
      <c r="B49" s="7" t="s">
        <v>481</v>
      </c>
      <c r="C49" s="7" t="s">
        <v>117</v>
      </c>
      <c r="D49" s="6" t="s">
        <v>48</v>
      </c>
      <c r="E49" s="6" t="s">
        <v>49</v>
      </c>
      <c r="F49" s="6" t="s">
        <v>50</v>
      </c>
      <c r="G49" s="6" t="s">
        <v>13</v>
      </c>
      <c r="H49" s="6" t="s">
        <v>52</v>
      </c>
      <c r="I49" s="6" t="s">
        <v>52</v>
      </c>
      <c r="J49" s="6"/>
      <c r="K49" s="6"/>
      <c r="L49" s="6"/>
      <c r="M49" s="5" t="s">
        <v>56</v>
      </c>
      <c r="N49" s="5" t="s">
        <v>56</v>
      </c>
      <c r="O49" s="6" t="s">
        <v>54</v>
      </c>
    </row>
    <row r="50" spans="1:15" x14ac:dyDescent="0.35">
      <c r="A50" s="5" t="s">
        <v>837</v>
      </c>
      <c r="B50" s="6" t="s">
        <v>654</v>
      </c>
      <c r="C50" s="6" t="s">
        <v>290</v>
      </c>
      <c r="D50" s="6" t="s">
        <v>48</v>
      </c>
      <c r="E50" s="6" t="s">
        <v>49</v>
      </c>
      <c r="F50" s="6" t="s">
        <v>55</v>
      </c>
      <c r="G50" s="6" t="s">
        <v>29</v>
      </c>
      <c r="H50" s="6" t="s">
        <v>52</v>
      </c>
      <c r="I50" s="6" t="s">
        <v>52</v>
      </c>
      <c r="J50" s="6" t="s">
        <v>51</v>
      </c>
      <c r="K50" s="6"/>
      <c r="L50" s="6"/>
      <c r="M50" s="5" t="s">
        <v>63</v>
      </c>
      <c r="N50" s="5" t="s">
        <v>63</v>
      </c>
      <c r="O50" s="6" t="s">
        <v>54</v>
      </c>
    </row>
    <row r="51" spans="1:15" x14ac:dyDescent="0.35">
      <c r="A51" s="5" t="s">
        <v>862</v>
      </c>
      <c r="B51" s="7" t="s">
        <v>703</v>
      </c>
      <c r="C51" s="7" t="s">
        <v>339</v>
      </c>
      <c r="D51" s="7" t="s">
        <v>48</v>
      </c>
      <c r="E51" s="7" t="s">
        <v>49</v>
      </c>
      <c r="F51" s="7" t="s">
        <v>55</v>
      </c>
      <c r="G51" s="7" t="s">
        <v>5</v>
      </c>
      <c r="H51" s="7" t="s">
        <v>52</v>
      </c>
      <c r="I51" s="7" t="s">
        <v>52</v>
      </c>
      <c r="J51" s="7"/>
      <c r="K51" s="7"/>
      <c r="L51" s="7"/>
      <c r="M51" s="5" t="s">
        <v>67</v>
      </c>
      <c r="N51" s="5" t="s">
        <v>67</v>
      </c>
      <c r="O51" s="7" t="s">
        <v>54</v>
      </c>
    </row>
    <row r="52" spans="1:15" x14ac:dyDescent="0.35">
      <c r="A52" s="5" t="s">
        <v>842</v>
      </c>
      <c r="B52" s="6" t="s">
        <v>530</v>
      </c>
      <c r="C52" s="6" t="s">
        <v>166</v>
      </c>
      <c r="D52" s="7" t="s">
        <v>48</v>
      </c>
      <c r="E52" s="7" t="s">
        <v>49</v>
      </c>
      <c r="F52" s="7" t="s">
        <v>55</v>
      </c>
      <c r="G52" s="7" t="s">
        <v>5</v>
      </c>
      <c r="H52" s="7" t="s">
        <v>52</v>
      </c>
      <c r="I52" s="7" t="s">
        <v>60</v>
      </c>
      <c r="J52" s="7" t="s">
        <v>51</v>
      </c>
      <c r="K52" s="7"/>
      <c r="L52" s="7" t="s">
        <v>70</v>
      </c>
      <c r="M52" s="5" t="s">
        <v>57</v>
      </c>
      <c r="N52" s="5" t="s">
        <v>57</v>
      </c>
      <c r="O52" s="7" t="s">
        <v>54</v>
      </c>
    </row>
    <row r="53" spans="1:15" x14ac:dyDescent="0.35">
      <c r="A53" s="5" t="s">
        <v>863</v>
      </c>
      <c r="B53" s="6" t="s">
        <v>501</v>
      </c>
      <c r="C53" s="6" t="s">
        <v>137</v>
      </c>
      <c r="D53" s="6" t="s">
        <v>48</v>
      </c>
      <c r="E53" s="6" t="s">
        <v>49</v>
      </c>
      <c r="F53" s="6" t="s">
        <v>50</v>
      </c>
      <c r="G53" s="6" t="s">
        <v>5</v>
      </c>
      <c r="H53" s="6" t="s">
        <v>52</v>
      </c>
      <c r="I53" s="6" t="s">
        <v>60</v>
      </c>
      <c r="J53" s="6" t="s">
        <v>51</v>
      </c>
      <c r="K53" s="6"/>
      <c r="L53" s="6"/>
      <c r="M53" s="5" t="s">
        <v>56</v>
      </c>
      <c r="N53" s="5" t="s">
        <v>56</v>
      </c>
      <c r="O53" s="6" t="s">
        <v>54</v>
      </c>
    </row>
    <row r="54" spans="1:15" x14ac:dyDescent="0.35">
      <c r="A54" s="5" t="s">
        <v>864</v>
      </c>
      <c r="B54" s="6" t="s">
        <v>506</v>
      </c>
      <c r="C54" s="6" t="s">
        <v>142</v>
      </c>
      <c r="D54" s="7" t="s">
        <v>48</v>
      </c>
      <c r="E54" s="7" t="s">
        <v>49</v>
      </c>
      <c r="F54" s="7" t="s">
        <v>50</v>
      </c>
      <c r="G54" s="7" t="s">
        <v>9</v>
      </c>
      <c r="H54" s="7" t="s">
        <v>51</v>
      </c>
      <c r="I54" s="7" t="s">
        <v>52</v>
      </c>
      <c r="J54" s="7"/>
      <c r="K54" s="7"/>
      <c r="L54" s="7"/>
      <c r="M54" s="5" t="s">
        <v>57</v>
      </c>
      <c r="N54" s="5" t="s">
        <v>57</v>
      </c>
      <c r="O54" s="7" t="s">
        <v>54</v>
      </c>
    </row>
    <row r="55" spans="1:15" x14ac:dyDescent="0.35">
      <c r="A55" s="5" t="s">
        <v>865</v>
      </c>
      <c r="B55" s="7" t="s">
        <v>592</v>
      </c>
      <c r="C55" s="7" t="s">
        <v>228</v>
      </c>
      <c r="D55" s="7" t="s">
        <v>48</v>
      </c>
      <c r="E55" s="7" t="s">
        <v>49</v>
      </c>
      <c r="F55" s="7" t="s">
        <v>50</v>
      </c>
      <c r="G55" s="7" t="s">
        <v>18</v>
      </c>
      <c r="H55" s="7" t="s">
        <v>52</v>
      </c>
      <c r="I55" s="7" t="s">
        <v>52</v>
      </c>
      <c r="J55" s="7" t="s">
        <v>51</v>
      </c>
      <c r="K55" s="7"/>
      <c r="L55" s="7"/>
      <c r="M55" s="5" t="s">
        <v>82</v>
      </c>
      <c r="N55" s="5" t="s">
        <v>82</v>
      </c>
      <c r="O55" s="7" t="s">
        <v>54</v>
      </c>
    </row>
    <row r="56" spans="1:15" x14ac:dyDescent="0.35">
      <c r="A56" s="5" t="s">
        <v>866</v>
      </c>
      <c r="B56" s="6" t="s">
        <v>828</v>
      </c>
      <c r="C56" s="6" t="s">
        <v>464</v>
      </c>
      <c r="D56" s="6" t="s">
        <v>48</v>
      </c>
      <c r="E56" s="6" t="s">
        <v>49</v>
      </c>
      <c r="F56" s="6" t="s">
        <v>50</v>
      </c>
      <c r="G56" s="6" t="s">
        <v>0</v>
      </c>
      <c r="H56" s="6" t="s">
        <v>52</v>
      </c>
      <c r="I56" s="6" t="s">
        <v>52</v>
      </c>
      <c r="J56" s="6" t="s">
        <v>51</v>
      </c>
      <c r="K56" s="6" t="s">
        <v>51</v>
      </c>
      <c r="L56" s="6"/>
      <c r="M56" s="5" t="s">
        <v>75</v>
      </c>
      <c r="N56" s="5" t="s">
        <v>75</v>
      </c>
      <c r="O56" s="6" t="s">
        <v>54</v>
      </c>
    </row>
    <row r="57" spans="1:15" x14ac:dyDescent="0.35">
      <c r="A57" s="5" t="s">
        <v>867</v>
      </c>
      <c r="B57" s="7" t="s">
        <v>661</v>
      </c>
      <c r="C57" s="7" t="s">
        <v>297</v>
      </c>
      <c r="D57" s="6" t="s">
        <v>48</v>
      </c>
      <c r="E57" s="6" t="s">
        <v>49</v>
      </c>
      <c r="F57" s="6" t="s">
        <v>50</v>
      </c>
      <c r="G57" s="6" t="s">
        <v>26</v>
      </c>
      <c r="H57" s="6" t="s">
        <v>52</v>
      </c>
      <c r="I57" s="6" t="s">
        <v>81</v>
      </c>
      <c r="J57" s="6"/>
      <c r="K57" s="6"/>
      <c r="L57" s="6"/>
      <c r="M57" s="5" t="s">
        <v>63</v>
      </c>
      <c r="N57" s="5" t="s">
        <v>63</v>
      </c>
      <c r="O57" s="6" t="s">
        <v>54</v>
      </c>
    </row>
    <row r="58" spans="1:15" x14ac:dyDescent="0.35">
      <c r="A58" s="5" t="s">
        <v>843</v>
      </c>
      <c r="B58" s="6" t="s">
        <v>792</v>
      </c>
      <c r="C58" s="6" t="s">
        <v>428</v>
      </c>
      <c r="D58" s="6" t="s">
        <v>48</v>
      </c>
      <c r="E58" s="6" t="s">
        <v>49</v>
      </c>
      <c r="F58" s="6" t="s">
        <v>50</v>
      </c>
      <c r="G58" s="6" t="s">
        <v>26</v>
      </c>
      <c r="H58" s="6" t="s">
        <v>52</v>
      </c>
      <c r="I58" s="6" t="s">
        <v>60</v>
      </c>
      <c r="J58" s="6" t="s">
        <v>51</v>
      </c>
      <c r="K58" s="6"/>
      <c r="L58" s="6"/>
      <c r="M58" s="5" t="s">
        <v>67</v>
      </c>
      <c r="N58" s="5" t="s">
        <v>67</v>
      </c>
      <c r="O58" s="6" t="s">
        <v>54</v>
      </c>
    </row>
    <row r="59" spans="1:15" x14ac:dyDescent="0.35">
      <c r="A59" s="5" t="s">
        <v>868</v>
      </c>
      <c r="B59" s="6" t="s">
        <v>546</v>
      </c>
      <c r="C59" s="6" t="s">
        <v>182</v>
      </c>
      <c r="D59" s="6" t="s">
        <v>48</v>
      </c>
      <c r="E59" s="6" t="s">
        <v>49</v>
      </c>
      <c r="F59" s="6" t="s">
        <v>50</v>
      </c>
      <c r="G59" s="6" t="s">
        <v>5</v>
      </c>
      <c r="H59" s="6" t="s">
        <v>52</v>
      </c>
      <c r="I59" s="6" t="s">
        <v>52</v>
      </c>
      <c r="J59" s="6"/>
      <c r="K59" s="6"/>
      <c r="L59" s="6"/>
      <c r="M59" s="5" t="s">
        <v>63</v>
      </c>
      <c r="N59" s="5" t="s">
        <v>63</v>
      </c>
      <c r="O59" s="6" t="s">
        <v>54</v>
      </c>
    </row>
    <row r="60" spans="1:15" x14ac:dyDescent="0.35">
      <c r="A60" s="5" t="s">
        <v>869</v>
      </c>
      <c r="B60" s="6" t="s">
        <v>791</v>
      </c>
      <c r="C60" s="6" t="s">
        <v>427</v>
      </c>
      <c r="D60" s="7" t="s">
        <v>48</v>
      </c>
      <c r="E60" s="7" t="s">
        <v>49</v>
      </c>
      <c r="F60" s="7" t="s">
        <v>55</v>
      </c>
      <c r="G60" s="7" t="s">
        <v>5</v>
      </c>
      <c r="H60" s="7" t="s">
        <v>52</v>
      </c>
      <c r="I60" s="7" t="s">
        <v>60</v>
      </c>
      <c r="J60" s="7" t="s">
        <v>51</v>
      </c>
      <c r="K60" s="7" t="s">
        <v>51</v>
      </c>
      <c r="L60" s="7" t="s">
        <v>91</v>
      </c>
      <c r="M60" s="5" t="s">
        <v>66</v>
      </c>
      <c r="N60" s="5" t="s">
        <v>66</v>
      </c>
      <c r="O60" s="7" t="s">
        <v>54</v>
      </c>
    </row>
    <row r="61" spans="1:15" x14ac:dyDescent="0.35">
      <c r="A61" s="5" t="s">
        <v>870</v>
      </c>
      <c r="B61" s="6" t="s">
        <v>521</v>
      </c>
      <c r="C61" s="6" t="s">
        <v>157</v>
      </c>
      <c r="D61" s="7" t="s">
        <v>48</v>
      </c>
      <c r="E61" s="7" t="s">
        <v>49</v>
      </c>
      <c r="F61" s="7" t="s">
        <v>50</v>
      </c>
      <c r="G61" s="7" t="s">
        <v>22</v>
      </c>
      <c r="H61" s="7" t="s">
        <v>52</v>
      </c>
      <c r="I61" s="7" t="s">
        <v>52</v>
      </c>
      <c r="J61" s="7"/>
      <c r="K61" s="7"/>
      <c r="L61" s="7"/>
      <c r="M61" s="5" t="s">
        <v>67</v>
      </c>
      <c r="N61" s="5" t="s">
        <v>67</v>
      </c>
      <c r="O61" s="7" t="s">
        <v>54</v>
      </c>
    </row>
    <row r="62" spans="1:15" x14ac:dyDescent="0.35">
      <c r="A62" s="5" t="s">
        <v>845</v>
      </c>
      <c r="B62" s="7" t="s">
        <v>505</v>
      </c>
      <c r="C62" s="7" t="s">
        <v>141</v>
      </c>
      <c r="D62" s="6" t="s">
        <v>48</v>
      </c>
      <c r="E62" s="6" t="s">
        <v>49</v>
      </c>
      <c r="F62" s="6" t="s">
        <v>55</v>
      </c>
      <c r="G62" s="6" t="s">
        <v>0</v>
      </c>
      <c r="H62" s="6" t="s">
        <v>52</v>
      </c>
      <c r="I62" s="6" t="s">
        <v>52</v>
      </c>
      <c r="J62" s="6" t="s">
        <v>51</v>
      </c>
      <c r="K62" s="6"/>
      <c r="L62" s="6"/>
      <c r="M62" s="5" t="s">
        <v>57</v>
      </c>
      <c r="N62" s="5" t="s">
        <v>57</v>
      </c>
      <c r="O62" s="6" t="s">
        <v>54</v>
      </c>
    </row>
    <row r="63" spans="1:15" x14ac:dyDescent="0.35">
      <c r="A63" s="5" t="s">
        <v>849</v>
      </c>
      <c r="B63" s="6" t="s">
        <v>540</v>
      </c>
      <c r="C63" s="6" t="s">
        <v>176</v>
      </c>
      <c r="D63" s="6" t="s">
        <v>48</v>
      </c>
      <c r="E63" s="6" t="s">
        <v>49</v>
      </c>
      <c r="F63" s="6" t="s">
        <v>55</v>
      </c>
      <c r="G63" s="6" t="s">
        <v>26</v>
      </c>
      <c r="H63" s="6" t="s">
        <v>52</v>
      </c>
      <c r="I63" s="6" t="s">
        <v>52</v>
      </c>
      <c r="J63" s="6" t="s">
        <v>51</v>
      </c>
      <c r="K63" s="6"/>
      <c r="L63" s="6"/>
      <c r="M63" s="5" t="s">
        <v>59</v>
      </c>
      <c r="N63" s="5" t="s">
        <v>59</v>
      </c>
      <c r="O63" s="6" t="s">
        <v>54</v>
      </c>
    </row>
    <row r="64" spans="1:15" x14ac:dyDescent="0.35">
      <c r="A64" s="5" t="s">
        <v>871</v>
      </c>
      <c r="B64" s="6" t="s">
        <v>515</v>
      </c>
      <c r="C64" s="6" t="s">
        <v>151</v>
      </c>
      <c r="D64" s="7" t="s">
        <v>48</v>
      </c>
      <c r="E64" s="7" t="s">
        <v>49</v>
      </c>
      <c r="F64" s="7" t="s">
        <v>50</v>
      </c>
      <c r="G64" s="7" t="s">
        <v>31</v>
      </c>
      <c r="H64" s="7" t="s">
        <v>52</v>
      </c>
      <c r="I64" s="7" t="s">
        <v>52</v>
      </c>
      <c r="J64" s="7"/>
      <c r="K64" s="7"/>
      <c r="L64" s="7"/>
      <c r="M64" s="5" t="s">
        <v>56</v>
      </c>
      <c r="N64" s="5" t="s">
        <v>56</v>
      </c>
      <c r="O64" s="7" t="s">
        <v>54</v>
      </c>
    </row>
    <row r="65" spans="1:15" x14ac:dyDescent="0.35">
      <c r="A65" s="5" t="s">
        <v>854</v>
      </c>
      <c r="B65" s="6" t="s">
        <v>584</v>
      </c>
      <c r="C65" s="6" t="s">
        <v>220</v>
      </c>
      <c r="D65" s="7" t="s">
        <v>48</v>
      </c>
      <c r="E65" s="7" t="s">
        <v>49</v>
      </c>
      <c r="F65" s="7" t="s">
        <v>50</v>
      </c>
      <c r="G65" s="7" t="s">
        <v>5</v>
      </c>
      <c r="H65" s="7" t="s">
        <v>51</v>
      </c>
      <c r="I65" s="7" t="s">
        <v>52</v>
      </c>
      <c r="J65" s="7" t="s">
        <v>51</v>
      </c>
      <c r="K65" s="7" t="s">
        <v>80</v>
      </c>
      <c r="L65" s="7"/>
      <c r="M65" s="5" t="s">
        <v>69</v>
      </c>
      <c r="N65" s="5" t="s">
        <v>69</v>
      </c>
      <c r="O65" s="7" t="s">
        <v>54</v>
      </c>
    </row>
    <row r="66" spans="1:15" x14ac:dyDescent="0.35">
      <c r="A66" s="5" t="s">
        <v>850</v>
      </c>
      <c r="B66" s="6" t="s">
        <v>474</v>
      </c>
      <c r="C66" s="6" t="s">
        <v>110</v>
      </c>
      <c r="D66" s="7" t="s">
        <v>48</v>
      </c>
      <c r="E66" s="7" t="s">
        <v>49</v>
      </c>
      <c r="F66" s="7" t="s">
        <v>50</v>
      </c>
      <c r="G66" s="7" t="s">
        <v>29</v>
      </c>
      <c r="H66" s="7" t="s">
        <v>52</v>
      </c>
      <c r="I66" s="7" t="s">
        <v>52</v>
      </c>
      <c r="J66" s="7"/>
      <c r="K66" s="7"/>
      <c r="L66" s="7"/>
      <c r="M66" s="5" t="s">
        <v>57</v>
      </c>
      <c r="N66" s="5" t="s">
        <v>57</v>
      </c>
      <c r="O66" s="7" t="s">
        <v>54</v>
      </c>
    </row>
    <row r="67" spans="1:15" x14ac:dyDescent="0.35">
      <c r="A67" s="5" t="s">
        <v>855</v>
      </c>
      <c r="B67" s="6" t="s">
        <v>768</v>
      </c>
      <c r="C67" s="6" t="s">
        <v>404</v>
      </c>
      <c r="D67" s="7" t="s">
        <v>48</v>
      </c>
      <c r="E67" s="7" t="s">
        <v>49</v>
      </c>
      <c r="F67" s="7" t="s">
        <v>55</v>
      </c>
      <c r="G67" s="7" t="s">
        <v>9</v>
      </c>
      <c r="H67" s="7" t="s">
        <v>52</v>
      </c>
      <c r="I67" s="7" t="s">
        <v>52</v>
      </c>
      <c r="J67" s="7"/>
      <c r="K67" s="7"/>
      <c r="L67" s="7"/>
      <c r="M67" s="5" t="s">
        <v>57</v>
      </c>
      <c r="N67" s="5" t="s">
        <v>57</v>
      </c>
      <c r="O67" s="7" t="s">
        <v>54</v>
      </c>
    </row>
    <row r="68" spans="1:15" x14ac:dyDescent="0.35">
      <c r="A68" s="5" t="s">
        <v>872</v>
      </c>
      <c r="B68" s="7" t="s">
        <v>715</v>
      </c>
      <c r="C68" s="7" t="s">
        <v>351</v>
      </c>
      <c r="D68" s="6" t="s">
        <v>48</v>
      </c>
      <c r="E68" s="6" t="s">
        <v>49</v>
      </c>
      <c r="F68" s="6" t="s">
        <v>55</v>
      </c>
      <c r="G68" s="6" t="s">
        <v>9</v>
      </c>
      <c r="H68" s="6" t="s">
        <v>51</v>
      </c>
      <c r="I68" s="6" t="s">
        <v>52</v>
      </c>
      <c r="J68" s="6"/>
      <c r="K68" s="6"/>
      <c r="L68" s="6"/>
      <c r="M68" s="5" t="s">
        <v>57</v>
      </c>
      <c r="N68" s="5" t="s">
        <v>57</v>
      </c>
      <c r="O68" s="6" t="s">
        <v>54</v>
      </c>
    </row>
    <row r="69" spans="1:15" x14ac:dyDescent="0.35">
      <c r="A69" s="5" t="s">
        <v>873</v>
      </c>
      <c r="B69" s="7" t="s">
        <v>637</v>
      </c>
      <c r="C69" s="7" t="s">
        <v>273</v>
      </c>
      <c r="D69" s="7" t="s">
        <v>48</v>
      </c>
      <c r="E69" s="7" t="s">
        <v>49</v>
      </c>
      <c r="F69" s="7" t="s">
        <v>50</v>
      </c>
      <c r="G69" s="7" t="s">
        <v>29</v>
      </c>
      <c r="H69" s="7" t="s">
        <v>52</v>
      </c>
      <c r="I69" s="7" t="s">
        <v>60</v>
      </c>
      <c r="J69" s="7" t="s">
        <v>51</v>
      </c>
      <c r="K69" s="7"/>
      <c r="L69" s="7"/>
      <c r="M69" s="5" t="s">
        <v>57</v>
      </c>
      <c r="N69" s="5" t="s">
        <v>57</v>
      </c>
      <c r="O69" s="7" t="s">
        <v>54</v>
      </c>
    </row>
    <row r="70" spans="1:15" x14ac:dyDescent="0.35">
      <c r="A70" s="5" t="s">
        <v>845</v>
      </c>
      <c r="B70" s="7" t="s">
        <v>499</v>
      </c>
      <c r="C70" s="7" t="s">
        <v>135</v>
      </c>
      <c r="D70" s="6" t="s">
        <v>48</v>
      </c>
      <c r="E70" s="6" t="s">
        <v>49</v>
      </c>
      <c r="F70" s="6" t="s">
        <v>55</v>
      </c>
      <c r="G70" s="6" t="s">
        <v>11</v>
      </c>
      <c r="H70" s="6" t="s">
        <v>52</v>
      </c>
      <c r="I70" s="6" t="s">
        <v>52</v>
      </c>
      <c r="J70" s="6"/>
      <c r="K70" s="6"/>
      <c r="L70" s="6"/>
      <c r="M70" s="5" t="s">
        <v>57</v>
      </c>
      <c r="N70" s="5" t="s">
        <v>57</v>
      </c>
      <c r="O70" s="6" t="s">
        <v>54</v>
      </c>
    </row>
    <row r="71" spans="1:15" x14ac:dyDescent="0.35">
      <c r="A71" s="5" t="s">
        <v>874</v>
      </c>
      <c r="B71" s="6" t="s">
        <v>606</v>
      </c>
      <c r="C71" s="6" t="s">
        <v>242</v>
      </c>
      <c r="D71" s="7" t="s">
        <v>48</v>
      </c>
      <c r="E71" s="7" t="s">
        <v>49</v>
      </c>
      <c r="F71" s="7" t="s">
        <v>55</v>
      </c>
      <c r="G71" s="7" t="s">
        <v>26</v>
      </c>
      <c r="H71" s="7" t="s">
        <v>52</v>
      </c>
      <c r="I71" s="7" t="s">
        <v>52</v>
      </c>
      <c r="J71" s="7" t="s">
        <v>51</v>
      </c>
      <c r="K71" s="7"/>
      <c r="L71" s="7"/>
      <c r="M71" s="5" t="s">
        <v>66</v>
      </c>
      <c r="N71" s="5" t="s">
        <v>66</v>
      </c>
      <c r="O71" s="7" t="s">
        <v>54</v>
      </c>
    </row>
    <row r="72" spans="1:15" x14ac:dyDescent="0.35">
      <c r="A72" s="5" t="s">
        <v>875</v>
      </c>
      <c r="B72" s="6" t="s">
        <v>618</v>
      </c>
      <c r="C72" s="6" t="s">
        <v>254</v>
      </c>
      <c r="D72" s="7" t="s">
        <v>48</v>
      </c>
      <c r="E72" s="7" t="s">
        <v>49</v>
      </c>
      <c r="F72" s="7" t="s">
        <v>50</v>
      </c>
      <c r="G72" s="7" t="s">
        <v>15</v>
      </c>
      <c r="H72" s="7" t="s">
        <v>52</v>
      </c>
      <c r="I72" s="7" t="s">
        <v>52</v>
      </c>
      <c r="J72" s="7" t="s">
        <v>51</v>
      </c>
      <c r="K72" s="7"/>
      <c r="L72" s="7"/>
      <c r="M72" s="5" t="s">
        <v>67</v>
      </c>
      <c r="N72" s="5" t="s">
        <v>67</v>
      </c>
      <c r="O72" s="7" t="s">
        <v>54</v>
      </c>
    </row>
    <row r="73" spans="1:15" x14ac:dyDescent="0.35">
      <c r="A73" s="5" t="s">
        <v>876</v>
      </c>
      <c r="B73" s="6" t="s">
        <v>596</v>
      </c>
      <c r="C73" s="6" t="s">
        <v>232</v>
      </c>
      <c r="D73" s="7" t="s">
        <v>48</v>
      </c>
      <c r="E73" s="7" t="s">
        <v>49</v>
      </c>
      <c r="F73" s="7" t="s">
        <v>55</v>
      </c>
      <c r="G73" s="7" t="s">
        <v>7</v>
      </c>
      <c r="H73" s="7" t="s">
        <v>52</v>
      </c>
      <c r="I73" s="7" t="s">
        <v>52</v>
      </c>
      <c r="J73" s="7"/>
      <c r="K73" s="7"/>
      <c r="L73" s="7"/>
      <c r="M73" s="5" t="s">
        <v>63</v>
      </c>
      <c r="N73" s="5" t="s">
        <v>63</v>
      </c>
      <c r="O73" s="7" t="s">
        <v>54</v>
      </c>
    </row>
    <row r="74" spans="1:15" x14ac:dyDescent="0.35">
      <c r="A74" s="5" t="s">
        <v>850</v>
      </c>
      <c r="B74" s="6" t="s">
        <v>621</v>
      </c>
      <c r="C74" s="6" t="s">
        <v>257</v>
      </c>
      <c r="D74" s="6" t="s">
        <v>48</v>
      </c>
      <c r="E74" s="6" t="s">
        <v>49</v>
      </c>
      <c r="F74" s="6" t="s">
        <v>50</v>
      </c>
      <c r="G74" s="6" t="s">
        <v>1</v>
      </c>
      <c r="H74" s="6" t="s">
        <v>52</v>
      </c>
      <c r="I74" s="6" t="s">
        <v>52</v>
      </c>
      <c r="J74" s="6"/>
      <c r="K74" s="6"/>
      <c r="L74" s="6"/>
      <c r="M74" s="5" t="s">
        <v>57</v>
      </c>
      <c r="N74" s="5" t="s">
        <v>57</v>
      </c>
      <c r="O74" s="6" t="s">
        <v>54</v>
      </c>
    </row>
    <row r="75" spans="1:15" x14ac:dyDescent="0.35">
      <c r="A75" s="5" t="s">
        <v>831</v>
      </c>
      <c r="B75" s="7" t="s">
        <v>778</v>
      </c>
      <c r="C75" s="7" t="s">
        <v>414</v>
      </c>
      <c r="D75" s="7" t="s">
        <v>48</v>
      </c>
      <c r="E75" s="7" t="s">
        <v>49</v>
      </c>
      <c r="F75" s="7" t="s">
        <v>55</v>
      </c>
      <c r="G75" s="7" t="s">
        <v>9</v>
      </c>
      <c r="H75" s="7" t="s">
        <v>52</v>
      </c>
      <c r="I75" s="7" t="s">
        <v>60</v>
      </c>
      <c r="J75" s="7" t="s">
        <v>51</v>
      </c>
      <c r="K75" s="7"/>
      <c r="L75" s="7"/>
      <c r="M75" s="5" t="s">
        <v>59</v>
      </c>
      <c r="N75" s="5" t="s">
        <v>59</v>
      </c>
      <c r="O75" s="7" t="s">
        <v>54</v>
      </c>
    </row>
    <row r="76" spans="1:15" x14ac:dyDescent="0.35">
      <c r="A76" s="5" t="s">
        <v>877</v>
      </c>
      <c r="B76" s="7" t="s">
        <v>475</v>
      </c>
      <c r="C76" s="7" t="s">
        <v>111</v>
      </c>
      <c r="D76" s="6" t="s">
        <v>48</v>
      </c>
      <c r="E76" s="6" t="s">
        <v>49</v>
      </c>
      <c r="F76" s="6" t="s">
        <v>50</v>
      </c>
      <c r="G76" s="6" t="s">
        <v>26</v>
      </c>
      <c r="H76" s="6" t="s">
        <v>52</v>
      </c>
      <c r="I76" s="6" t="s">
        <v>60</v>
      </c>
      <c r="J76" s="6"/>
      <c r="K76" s="6"/>
      <c r="L76" s="6"/>
      <c r="M76" s="5" t="s">
        <v>63</v>
      </c>
      <c r="N76" s="5" t="s">
        <v>63</v>
      </c>
      <c r="O76" s="6" t="s">
        <v>54</v>
      </c>
    </row>
    <row r="77" spans="1:15" x14ac:dyDescent="0.35">
      <c r="A77" s="5" t="s">
        <v>878</v>
      </c>
      <c r="B77" s="6" t="s">
        <v>821</v>
      </c>
      <c r="C77" s="6" t="s">
        <v>457</v>
      </c>
      <c r="D77" s="7" t="s">
        <v>48</v>
      </c>
      <c r="E77" s="7" t="s">
        <v>49</v>
      </c>
      <c r="F77" s="7" t="s">
        <v>55</v>
      </c>
      <c r="G77" s="7" t="s">
        <v>29</v>
      </c>
      <c r="H77" s="7" t="s">
        <v>52</v>
      </c>
      <c r="I77" s="7" t="s">
        <v>52</v>
      </c>
      <c r="J77" s="7" t="s">
        <v>51</v>
      </c>
      <c r="K77" s="7" t="s">
        <v>51</v>
      </c>
      <c r="L77" s="7"/>
      <c r="M77" s="5" t="s">
        <v>97</v>
      </c>
      <c r="N77" s="5" t="s">
        <v>97</v>
      </c>
      <c r="O77" s="7" t="s">
        <v>54</v>
      </c>
    </row>
    <row r="78" spans="1:15" x14ac:dyDescent="0.35">
      <c r="A78" s="5" t="s">
        <v>845</v>
      </c>
      <c r="B78" s="7" t="s">
        <v>718</v>
      </c>
      <c r="C78" s="7" t="s">
        <v>354</v>
      </c>
      <c r="D78" s="7" t="s">
        <v>48</v>
      </c>
      <c r="E78" s="7" t="s">
        <v>49</v>
      </c>
      <c r="F78" s="7" t="s">
        <v>55</v>
      </c>
      <c r="G78" s="7" t="s">
        <v>17</v>
      </c>
      <c r="H78" s="7" t="s">
        <v>52</v>
      </c>
      <c r="I78" s="7" t="s">
        <v>52</v>
      </c>
      <c r="J78" s="7"/>
      <c r="K78" s="7"/>
      <c r="L78" s="7"/>
      <c r="M78" s="5" t="s">
        <v>57</v>
      </c>
      <c r="N78" s="5" t="s">
        <v>57</v>
      </c>
      <c r="O78" s="7" t="s">
        <v>54</v>
      </c>
    </row>
    <row r="79" spans="1:15" x14ac:dyDescent="0.35">
      <c r="A79" s="5" t="s">
        <v>879</v>
      </c>
      <c r="B79" s="6" t="s">
        <v>590</v>
      </c>
      <c r="C79" s="6" t="s">
        <v>226</v>
      </c>
      <c r="D79" s="7" t="s">
        <v>48</v>
      </c>
      <c r="E79" s="7" t="s">
        <v>49</v>
      </c>
      <c r="F79" s="7" t="s">
        <v>50</v>
      </c>
      <c r="G79" s="7" t="s">
        <v>16</v>
      </c>
      <c r="H79" s="7" t="s">
        <v>52</v>
      </c>
      <c r="I79" s="7" t="s">
        <v>60</v>
      </c>
      <c r="J79" s="7" t="s">
        <v>51</v>
      </c>
      <c r="K79" s="7"/>
      <c r="L79" s="7"/>
      <c r="M79" s="5" t="s">
        <v>61</v>
      </c>
      <c r="N79" s="5" t="s">
        <v>61</v>
      </c>
      <c r="O79" s="7" t="s">
        <v>54</v>
      </c>
    </row>
    <row r="80" spans="1:15" x14ac:dyDescent="0.35">
      <c r="A80" s="5" t="s">
        <v>867</v>
      </c>
      <c r="B80" s="6" t="s">
        <v>747</v>
      </c>
      <c r="C80" s="6" t="s">
        <v>383</v>
      </c>
      <c r="D80" s="6" t="s">
        <v>48</v>
      </c>
      <c r="E80" s="6" t="s">
        <v>49</v>
      </c>
      <c r="F80" s="6" t="s">
        <v>50</v>
      </c>
      <c r="G80" s="6" t="s">
        <v>9</v>
      </c>
      <c r="H80" s="6" t="s">
        <v>52</v>
      </c>
      <c r="I80" s="6" t="s">
        <v>60</v>
      </c>
      <c r="J80" s="6" t="s">
        <v>51</v>
      </c>
      <c r="K80" s="6" t="s">
        <v>51</v>
      </c>
      <c r="L80" s="6"/>
      <c r="M80" s="5" t="s">
        <v>63</v>
      </c>
      <c r="N80" s="5" t="s">
        <v>63</v>
      </c>
      <c r="O80" s="6" t="s">
        <v>54</v>
      </c>
    </row>
    <row r="81" spans="1:15" x14ac:dyDescent="0.35">
      <c r="A81" s="5" t="s">
        <v>871</v>
      </c>
      <c r="B81" s="7" t="s">
        <v>559</v>
      </c>
      <c r="C81" s="7" t="s">
        <v>195</v>
      </c>
      <c r="D81" s="7" t="s">
        <v>48</v>
      </c>
      <c r="E81" s="7" t="s">
        <v>49</v>
      </c>
      <c r="F81" s="7" t="s">
        <v>50</v>
      </c>
      <c r="G81" s="7" t="s">
        <v>9</v>
      </c>
      <c r="H81" s="7" t="s">
        <v>51</v>
      </c>
      <c r="I81" s="7" t="s">
        <v>52</v>
      </c>
      <c r="J81" s="7"/>
      <c r="K81" s="7"/>
      <c r="L81" s="7"/>
      <c r="M81" s="5" t="s">
        <v>56</v>
      </c>
      <c r="N81" s="5" t="s">
        <v>56</v>
      </c>
      <c r="O81" s="7" t="s">
        <v>54</v>
      </c>
    </row>
    <row r="82" spans="1:15" x14ac:dyDescent="0.35">
      <c r="A82" s="5" t="s">
        <v>880</v>
      </c>
      <c r="B82" s="6" t="s">
        <v>518</v>
      </c>
      <c r="C82" s="6" t="s">
        <v>154</v>
      </c>
      <c r="D82" s="6" t="s">
        <v>48</v>
      </c>
      <c r="E82" s="6" t="s">
        <v>49</v>
      </c>
      <c r="F82" s="6" t="s">
        <v>50</v>
      </c>
      <c r="G82" s="6" t="s">
        <v>5</v>
      </c>
      <c r="H82" s="6" t="s">
        <v>51</v>
      </c>
      <c r="I82" s="6" t="s">
        <v>52</v>
      </c>
      <c r="J82" s="6"/>
      <c r="K82" s="6"/>
      <c r="L82" s="6"/>
      <c r="M82" s="5" t="s">
        <v>59</v>
      </c>
      <c r="N82" s="5" t="s">
        <v>59</v>
      </c>
      <c r="O82" s="6" t="s">
        <v>54</v>
      </c>
    </row>
    <row r="83" spans="1:15" x14ac:dyDescent="0.35">
      <c r="A83" s="5" t="s">
        <v>835</v>
      </c>
      <c r="B83" s="6" t="s">
        <v>807</v>
      </c>
      <c r="C83" s="6" t="s">
        <v>443</v>
      </c>
      <c r="D83" s="7" t="s">
        <v>48</v>
      </c>
      <c r="E83" s="7" t="s">
        <v>49</v>
      </c>
      <c r="F83" s="7" t="s">
        <v>55</v>
      </c>
      <c r="G83" s="7" t="s">
        <v>26</v>
      </c>
      <c r="H83" s="7" t="s">
        <v>52</v>
      </c>
      <c r="I83" s="7" t="s">
        <v>52</v>
      </c>
      <c r="J83" s="7" t="s">
        <v>51</v>
      </c>
      <c r="K83" s="7" t="s">
        <v>51</v>
      </c>
      <c r="L83" s="7" t="s">
        <v>91</v>
      </c>
      <c r="M83" s="5" t="s">
        <v>63</v>
      </c>
      <c r="N83" s="5" t="s">
        <v>63</v>
      </c>
      <c r="O83" s="7" t="s">
        <v>54</v>
      </c>
    </row>
    <row r="84" spans="1:15" x14ac:dyDescent="0.35">
      <c r="A84" s="5" t="s">
        <v>881</v>
      </c>
      <c r="B84" s="6" t="s">
        <v>627</v>
      </c>
      <c r="C84" s="6" t="s">
        <v>263</v>
      </c>
      <c r="D84" s="7" t="s">
        <v>48</v>
      </c>
      <c r="E84" s="7" t="s">
        <v>49</v>
      </c>
      <c r="F84" s="7" t="s">
        <v>50</v>
      </c>
      <c r="G84" s="7" t="s">
        <v>5</v>
      </c>
      <c r="H84" s="7" t="s">
        <v>52</v>
      </c>
      <c r="I84" s="7" t="s">
        <v>52</v>
      </c>
      <c r="J84" s="7" t="s">
        <v>51</v>
      </c>
      <c r="K84" s="7" t="s">
        <v>51</v>
      </c>
      <c r="L84" s="7"/>
      <c r="M84" s="5" t="s">
        <v>67</v>
      </c>
      <c r="N84" s="5" t="s">
        <v>67</v>
      </c>
      <c r="O84" s="7" t="s">
        <v>54</v>
      </c>
    </row>
    <row r="85" spans="1:15" x14ac:dyDescent="0.35">
      <c r="A85" s="5" t="s">
        <v>842</v>
      </c>
      <c r="B85" s="6" t="s">
        <v>767</v>
      </c>
      <c r="C85" s="6" t="s">
        <v>403</v>
      </c>
      <c r="D85" s="6" t="s">
        <v>48</v>
      </c>
      <c r="E85" s="6" t="s">
        <v>49</v>
      </c>
      <c r="F85" s="6" t="s">
        <v>55</v>
      </c>
      <c r="G85" s="6" t="s">
        <v>32</v>
      </c>
      <c r="H85" s="6" t="s">
        <v>52</v>
      </c>
      <c r="I85" s="6" t="s">
        <v>52</v>
      </c>
      <c r="J85" s="6"/>
      <c r="K85" s="6"/>
      <c r="L85" s="6"/>
      <c r="M85" s="5" t="s">
        <v>57</v>
      </c>
      <c r="N85" s="5" t="s">
        <v>57</v>
      </c>
      <c r="O85" s="6" t="s">
        <v>54</v>
      </c>
    </row>
    <row r="86" spans="1:15" x14ac:dyDescent="0.35">
      <c r="A86" s="5" t="s">
        <v>882</v>
      </c>
      <c r="B86" s="6" t="s">
        <v>692</v>
      </c>
      <c r="C86" s="6" t="s">
        <v>328</v>
      </c>
      <c r="D86" s="6" t="s">
        <v>48</v>
      </c>
      <c r="E86" s="6" t="s">
        <v>49</v>
      </c>
      <c r="F86" s="6" t="s">
        <v>50</v>
      </c>
      <c r="G86" s="6" t="s">
        <v>7</v>
      </c>
      <c r="H86" s="6" t="s">
        <v>52</v>
      </c>
      <c r="I86" s="6" t="s">
        <v>52</v>
      </c>
      <c r="J86" s="6"/>
      <c r="K86" s="6"/>
      <c r="L86" s="6"/>
      <c r="M86" s="5" t="s">
        <v>56</v>
      </c>
      <c r="N86" s="5" t="s">
        <v>56</v>
      </c>
      <c r="O86" s="6" t="s">
        <v>54</v>
      </c>
    </row>
    <row r="87" spans="1:15" x14ac:dyDescent="0.35">
      <c r="A87" s="5" t="s">
        <v>839</v>
      </c>
      <c r="B87" s="6" t="s">
        <v>674</v>
      </c>
      <c r="C87" s="6" t="s">
        <v>310</v>
      </c>
      <c r="D87" s="7" t="s">
        <v>48</v>
      </c>
      <c r="E87" s="7" t="s">
        <v>49</v>
      </c>
      <c r="F87" s="7" t="s">
        <v>55</v>
      </c>
      <c r="G87" s="7" t="s">
        <v>5</v>
      </c>
      <c r="H87" s="7" t="s">
        <v>52</v>
      </c>
      <c r="I87" s="7" t="s">
        <v>52</v>
      </c>
      <c r="J87" s="7"/>
      <c r="K87" s="7"/>
      <c r="L87" s="7"/>
      <c r="M87" s="5" t="s">
        <v>59</v>
      </c>
      <c r="N87" s="5" t="s">
        <v>59</v>
      </c>
      <c r="O87" s="7" t="s">
        <v>54</v>
      </c>
    </row>
    <row r="88" spans="1:15" x14ac:dyDescent="0.35">
      <c r="A88" s="5" t="s">
        <v>846</v>
      </c>
      <c r="B88" s="6" t="s">
        <v>491</v>
      </c>
      <c r="C88" s="6" t="s">
        <v>127</v>
      </c>
      <c r="D88" s="6" t="s">
        <v>48</v>
      </c>
      <c r="E88" s="6" t="s">
        <v>49</v>
      </c>
      <c r="F88" s="6" t="s">
        <v>50</v>
      </c>
      <c r="G88" s="6" t="s">
        <v>5</v>
      </c>
      <c r="H88" s="6" t="s">
        <v>51</v>
      </c>
      <c r="I88" s="6" t="s">
        <v>52</v>
      </c>
      <c r="J88" s="6"/>
      <c r="K88" s="6"/>
      <c r="L88" s="6"/>
      <c r="M88" s="5" t="s">
        <v>57</v>
      </c>
      <c r="N88" s="5" t="s">
        <v>57</v>
      </c>
      <c r="O88" s="6" t="s">
        <v>54</v>
      </c>
    </row>
    <row r="89" spans="1:15" x14ac:dyDescent="0.35">
      <c r="A89" s="5" t="s">
        <v>883</v>
      </c>
      <c r="B89" s="7" t="s">
        <v>610</v>
      </c>
      <c r="C89" s="7" t="s">
        <v>246</v>
      </c>
      <c r="D89" s="7" t="s">
        <v>48</v>
      </c>
      <c r="E89" s="7" t="s">
        <v>49</v>
      </c>
      <c r="F89" s="7" t="s">
        <v>50</v>
      </c>
      <c r="G89" s="7" t="s">
        <v>5</v>
      </c>
      <c r="H89" s="7" t="s">
        <v>52</v>
      </c>
      <c r="I89" s="7" t="s">
        <v>52</v>
      </c>
      <c r="J89" s="7" t="s">
        <v>51</v>
      </c>
      <c r="K89" s="7" t="s">
        <v>51</v>
      </c>
      <c r="L89" s="7"/>
      <c r="M89" s="5" t="s">
        <v>66</v>
      </c>
      <c r="N89" s="5" t="s">
        <v>66</v>
      </c>
      <c r="O89" s="7" t="s">
        <v>54</v>
      </c>
    </row>
    <row r="90" spans="1:15" x14ac:dyDescent="0.35">
      <c r="A90" s="5" t="s">
        <v>845</v>
      </c>
      <c r="B90" s="6" t="s">
        <v>483</v>
      </c>
      <c r="C90" s="6" t="s">
        <v>119</v>
      </c>
      <c r="D90" s="6" t="s">
        <v>48</v>
      </c>
      <c r="E90" s="6" t="s">
        <v>49</v>
      </c>
      <c r="F90" s="6" t="s">
        <v>55</v>
      </c>
      <c r="G90" s="6" t="s">
        <v>5</v>
      </c>
      <c r="H90" s="6" t="s">
        <v>52</v>
      </c>
      <c r="I90" s="6" t="s">
        <v>52</v>
      </c>
      <c r="J90" s="6"/>
      <c r="K90" s="6"/>
      <c r="L90" s="6"/>
      <c r="M90" s="5" t="s">
        <v>57</v>
      </c>
      <c r="N90" s="5" t="s">
        <v>57</v>
      </c>
      <c r="O90" s="6" t="s">
        <v>54</v>
      </c>
    </row>
    <row r="91" spans="1:15" x14ac:dyDescent="0.35">
      <c r="A91" s="5" t="s">
        <v>845</v>
      </c>
      <c r="B91" s="6" t="s">
        <v>722</v>
      </c>
      <c r="C91" s="6" t="s">
        <v>358</v>
      </c>
      <c r="D91" s="7" t="s">
        <v>48</v>
      </c>
      <c r="E91" s="7" t="s">
        <v>49</v>
      </c>
      <c r="F91" s="7" t="s">
        <v>55</v>
      </c>
      <c r="G91" s="7" t="s">
        <v>13</v>
      </c>
      <c r="H91" s="7" t="s">
        <v>52</v>
      </c>
      <c r="I91" s="7" t="s">
        <v>52</v>
      </c>
      <c r="J91" s="7"/>
      <c r="K91" s="7"/>
      <c r="L91" s="7"/>
      <c r="M91" s="5" t="s">
        <v>57</v>
      </c>
      <c r="N91" s="5" t="s">
        <v>57</v>
      </c>
      <c r="O91" s="7" t="s">
        <v>54</v>
      </c>
    </row>
    <row r="92" spans="1:15" x14ac:dyDescent="0.35">
      <c r="A92" s="5" t="s">
        <v>884</v>
      </c>
      <c r="B92" s="6" t="s">
        <v>570</v>
      </c>
      <c r="C92" s="6" t="s">
        <v>206</v>
      </c>
      <c r="D92" s="6" t="s">
        <v>48</v>
      </c>
      <c r="E92" s="6" t="s">
        <v>49</v>
      </c>
      <c r="F92" s="6" t="s">
        <v>50</v>
      </c>
      <c r="G92" s="6" t="s">
        <v>26</v>
      </c>
      <c r="H92" s="6" t="s">
        <v>52</v>
      </c>
      <c r="I92" s="6" t="s">
        <v>64</v>
      </c>
      <c r="J92" s="6" t="s">
        <v>51</v>
      </c>
      <c r="K92" s="6" t="s">
        <v>51</v>
      </c>
      <c r="L92" s="6"/>
      <c r="M92" s="5" t="s">
        <v>77</v>
      </c>
      <c r="N92" s="5" t="s">
        <v>77</v>
      </c>
      <c r="O92" s="6" t="s">
        <v>54</v>
      </c>
    </row>
    <row r="93" spans="1:15" x14ac:dyDescent="0.35">
      <c r="A93" s="5" t="s">
        <v>876</v>
      </c>
      <c r="B93" s="7" t="s">
        <v>805</v>
      </c>
      <c r="C93" s="7" t="s">
        <v>441</v>
      </c>
      <c r="D93" s="7" t="s">
        <v>48</v>
      </c>
      <c r="E93" s="7" t="s">
        <v>49</v>
      </c>
      <c r="F93" s="7" t="s">
        <v>55</v>
      </c>
      <c r="G93" s="7" t="s">
        <v>29</v>
      </c>
      <c r="H93" s="7" t="s">
        <v>52</v>
      </c>
      <c r="I93" s="7" t="s">
        <v>52</v>
      </c>
      <c r="J93" s="7"/>
      <c r="K93" s="7"/>
      <c r="L93" s="7"/>
      <c r="M93" s="5" t="s">
        <v>63</v>
      </c>
      <c r="N93" s="5" t="s">
        <v>63</v>
      </c>
      <c r="O93" s="7" t="s">
        <v>54</v>
      </c>
    </row>
    <row r="94" spans="1:15" x14ac:dyDescent="0.35">
      <c r="A94" s="5" t="s">
        <v>851</v>
      </c>
      <c r="B94" s="6" t="s">
        <v>740</v>
      </c>
      <c r="C94" s="6" t="s">
        <v>376</v>
      </c>
      <c r="D94" s="7" t="s">
        <v>48</v>
      </c>
      <c r="E94" s="7" t="s">
        <v>49</v>
      </c>
      <c r="F94" s="7" t="s">
        <v>55</v>
      </c>
      <c r="G94" s="7" t="s">
        <v>29</v>
      </c>
      <c r="H94" s="7" t="s">
        <v>51</v>
      </c>
      <c r="I94" s="7" t="s">
        <v>52</v>
      </c>
      <c r="J94" s="7"/>
      <c r="K94" s="7"/>
      <c r="L94" s="7"/>
      <c r="M94" s="5" t="s">
        <v>67</v>
      </c>
      <c r="N94" s="5" t="s">
        <v>67</v>
      </c>
      <c r="O94" s="7" t="s">
        <v>54</v>
      </c>
    </row>
    <row r="95" spans="1:15" x14ac:dyDescent="0.35">
      <c r="A95" s="5" t="s">
        <v>876</v>
      </c>
      <c r="B95" s="6" t="s">
        <v>633</v>
      </c>
      <c r="C95" s="6" t="s">
        <v>269</v>
      </c>
      <c r="D95" s="7" t="s">
        <v>48</v>
      </c>
      <c r="E95" s="7" t="s">
        <v>49</v>
      </c>
      <c r="F95" s="7" t="s">
        <v>55</v>
      </c>
      <c r="G95" s="7" t="s">
        <v>26</v>
      </c>
      <c r="H95" s="7" t="s">
        <v>52</v>
      </c>
      <c r="I95" s="7" t="s">
        <v>52</v>
      </c>
      <c r="J95" s="7"/>
      <c r="K95" s="7"/>
      <c r="L95" s="7"/>
      <c r="M95" s="5" t="s">
        <v>63</v>
      </c>
      <c r="N95" s="5" t="s">
        <v>63</v>
      </c>
      <c r="O95" s="7" t="s">
        <v>54</v>
      </c>
    </row>
    <row r="96" spans="1:15" x14ac:dyDescent="0.35">
      <c r="A96" s="5" t="s">
        <v>885</v>
      </c>
      <c r="B96" s="6" t="s">
        <v>827</v>
      </c>
      <c r="C96" s="6" t="s">
        <v>463</v>
      </c>
      <c r="D96" s="7" t="s">
        <v>48</v>
      </c>
      <c r="E96" s="7" t="s">
        <v>49</v>
      </c>
      <c r="F96" s="7" t="s">
        <v>50</v>
      </c>
      <c r="G96" s="7" t="s">
        <v>8</v>
      </c>
      <c r="H96" s="7" t="s">
        <v>52</v>
      </c>
      <c r="I96" s="7" t="s">
        <v>52</v>
      </c>
      <c r="J96" s="7" t="s">
        <v>51</v>
      </c>
      <c r="K96" s="7" t="s">
        <v>51</v>
      </c>
      <c r="L96" s="7"/>
      <c r="M96" s="5" t="s">
        <v>100</v>
      </c>
      <c r="N96" s="5" t="s">
        <v>100</v>
      </c>
      <c r="O96" s="7" t="s">
        <v>54</v>
      </c>
    </row>
    <row r="97" spans="1:15" x14ac:dyDescent="0.35">
      <c r="A97" s="5" t="s">
        <v>830</v>
      </c>
      <c r="B97" s="6" t="s">
        <v>726</v>
      </c>
      <c r="C97" s="6" t="s">
        <v>362</v>
      </c>
      <c r="D97" s="7" t="s">
        <v>48</v>
      </c>
      <c r="E97" s="7" t="s">
        <v>49</v>
      </c>
      <c r="F97" s="7" t="s">
        <v>55</v>
      </c>
      <c r="G97" s="7" t="s">
        <v>18</v>
      </c>
      <c r="H97" s="7" t="s">
        <v>51</v>
      </c>
      <c r="I97" s="7" t="s">
        <v>52</v>
      </c>
      <c r="J97" s="7" t="s">
        <v>51</v>
      </c>
      <c r="K97" s="7" t="s">
        <v>51</v>
      </c>
      <c r="L97" s="7"/>
      <c r="M97" s="5" t="s">
        <v>56</v>
      </c>
      <c r="N97" s="5" t="s">
        <v>56</v>
      </c>
      <c r="O97" s="7" t="s">
        <v>54</v>
      </c>
    </row>
    <row r="98" spans="1:15" x14ac:dyDescent="0.35">
      <c r="A98" s="5" t="s">
        <v>886</v>
      </c>
      <c r="B98" s="6" t="s">
        <v>744</v>
      </c>
      <c r="C98" s="6" t="s">
        <v>380</v>
      </c>
      <c r="D98" s="7" t="s">
        <v>48</v>
      </c>
      <c r="E98" s="7" t="s">
        <v>49</v>
      </c>
      <c r="F98" s="7" t="s">
        <v>50</v>
      </c>
      <c r="G98" s="7" t="s">
        <v>17</v>
      </c>
      <c r="H98" s="7" t="s">
        <v>52</v>
      </c>
      <c r="I98" s="7" t="s">
        <v>60</v>
      </c>
      <c r="J98" s="7"/>
      <c r="K98" s="7"/>
      <c r="L98" s="7"/>
      <c r="M98" s="5" t="s">
        <v>71</v>
      </c>
      <c r="N98" s="5" t="s">
        <v>71</v>
      </c>
      <c r="O98" s="7" t="s">
        <v>54</v>
      </c>
    </row>
    <row r="99" spans="1:15" x14ac:dyDescent="0.35">
      <c r="A99" s="5" t="s">
        <v>846</v>
      </c>
      <c r="B99" s="6" t="s">
        <v>569</v>
      </c>
      <c r="C99" s="6" t="s">
        <v>205</v>
      </c>
      <c r="D99" s="7" t="s">
        <v>48</v>
      </c>
      <c r="E99" s="7" t="s">
        <v>49</v>
      </c>
      <c r="F99" s="7" t="s">
        <v>50</v>
      </c>
      <c r="G99" s="7" t="s">
        <v>9</v>
      </c>
      <c r="H99" s="7" t="s">
        <v>52</v>
      </c>
      <c r="I99" s="7" t="s">
        <v>52</v>
      </c>
      <c r="J99" s="7"/>
      <c r="K99" s="7"/>
      <c r="L99" s="7"/>
      <c r="M99" s="5" t="s">
        <v>57</v>
      </c>
      <c r="N99" s="5" t="s">
        <v>57</v>
      </c>
      <c r="O99" s="7" t="s">
        <v>54</v>
      </c>
    </row>
    <row r="100" spans="1:15" x14ac:dyDescent="0.35">
      <c r="A100" s="5" t="s">
        <v>887</v>
      </c>
      <c r="B100" s="6" t="s">
        <v>510</v>
      </c>
      <c r="C100" s="6" t="s">
        <v>146</v>
      </c>
      <c r="D100" s="7" t="s">
        <v>48</v>
      </c>
      <c r="E100" s="7" t="s">
        <v>49</v>
      </c>
      <c r="F100" s="7" t="s">
        <v>55</v>
      </c>
      <c r="G100" s="7" t="s">
        <v>5</v>
      </c>
      <c r="H100" s="7" t="s">
        <v>52</v>
      </c>
      <c r="I100" s="7" t="s">
        <v>52</v>
      </c>
      <c r="J100" s="7"/>
      <c r="K100" s="7"/>
      <c r="L100" s="7"/>
      <c r="M100" s="5" t="s">
        <v>69</v>
      </c>
      <c r="N100" s="5" t="s">
        <v>69</v>
      </c>
      <c r="O100" s="7" t="s">
        <v>54</v>
      </c>
    </row>
    <row r="101" spans="1:15" x14ac:dyDescent="0.35">
      <c r="A101" s="5" t="s">
        <v>888</v>
      </c>
      <c r="B101" s="6" t="s">
        <v>465</v>
      </c>
      <c r="C101" s="6" t="s">
        <v>101</v>
      </c>
      <c r="D101" s="6" t="s">
        <v>48</v>
      </c>
      <c r="E101" s="6" t="s">
        <v>49</v>
      </c>
      <c r="F101" s="6" t="s">
        <v>50</v>
      </c>
      <c r="G101" s="6" t="s">
        <v>9</v>
      </c>
      <c r="H101" s="6" t="s">
        <v>51</v>
      </c>
      <c r="I101" s="6" t="s">
        <v>52</v>
      </c>
      <c r="J101" s="6" t="s">
        <v>51</v>
      </c>
      <c r="K101" s="6" t="s">
        <v>51</v>
      </c>
      <c r="L101" s="6"/>
      <c r="M101" s="5" t="s">
        <v>53</v>
      </c>
      <c r="N101" s="5" t="s">
        <v>53</v>
      </c>
      <c r="O101" s="6" t="s">
        <v>54</v>
      </c>
    </row>
    <row r="102" spans="1:15" x14ac:dyDescent="0.35">
      <c r="A102" s="5" t="s">
        <v>850</v>
      </c>
      <c r="B102" s="6" t="s">
        <v>563</v>
      </c>
      <c r="C102" s="6" t="s">
        <v>199</v>
      </c>
      <c r="D102" s="7" t="s">
        <v>48</v>
      </c>
      <c r="E102" s="7" t="s">
        <v>49</v>
      </c>
      <c r="F102" s="7" t="s">
        <v>50</v>
      </c>
      <c r="G102" s="7" t="s">
        <v>19</v>
      </c>
      <c r="H102" s="7" t="s">
        <v>52</v>
      </c>
      <c r="I102" s="7" t="s">
        <v>52</v>
      </c>
      <c r="J102" s="7"/>
      <c r="K102" s="7"/>
      <c r="L102" s="7"/>
      <c r="M102" s="5" t="s">
        <v>57</v>
      </c>
      <c r="N102" s="5" t="s">
        <v>57</v>
      </c>
      <c r="O102" s="7" t="s">
        <v>54</v>
      </c>
    </row>
    <row r="103" spans="1:15" x14ac:dyDescent="0.35">
      <c r="A103" s="5" t="s">
        <v>889</v>
      </c>
      <c r="B103" s="6" t="s">
        <v>611</v>
      </c>
      <c r="C103" s="6" t="s">
        <v>247</v>
      </c>
      <c r="D103" s="6" t="s">
        <v>48</v>
      </c>
      <c r="E103" s="6" t="s">
        <v>49</v>
      </c>
      <c r="F103" s="6" t="s">
        <v>55</v>
      </c>
      <c r="G103" s="6" t="s">
        <v>5</v>
      </c>
      <c r="H103" s="6" t="s">
        <v>52</v>
      </c>
      <c r="I103" s="6" t="s">
        <v>52</v>
      </c>
      <c r="J103" s="6"/>
      <c r="K103" s="6"/>
      <c r="L103" s="6"/>
      <c r="M103" s="5" t="s">
        <v>59</v>
      </c>
      <c r="N103" s="5" t="s">
        <v>59</v>
      </c>
      <c r="O103" s="6" t="s">
        <v>54</v>
      </c>
    </row>
    <row r="104" spans="1:15" x14ac:dyDescent="0.35">
      <c r="A104" s="5" t="s">
        <v>883</v>
      </c>
      <c r="B104" s="6" t="s">
        <v>534</v>
      </c>
      <c r="C104" s="6" t="s">
        <v>170</v>
      </c>
      <c r="D104" s="6" t="s">
        <v>48</v>
      </c>
      <c r="E104" s="6" t="s">
        <v>49</v>
      </c>
      <c r="F104" s="6" t="s">
        <v>50</v>
      </c>
      <c r="G104" s="6" t="s">
        <v>32</v>
      </c>
      <c r="H104" s="6" t="s">
        <v>51</v>
      </c>
      <c r="I104" s="6" t="s">
        <v>52</v>
      </c>
      <c r="J104" s="6"/>
      <c r="K104" s="6"/>
      <c r="L104" s="6"/>
      <c r="M104" s="5" t="s">
        <v>66</v>
      </c>
      <c r="N104" s="5" t="s">
        <v>66</v>
      </c>
      <c r="O104" s="6" t="s">
        <v>54</v>
      </c>
    </row>
    <row r="105" spans="1:15" x14ac:dyDescent="0.35">
      <c r="A105" s="5" t="s">
        <v>890</v>
      </c>
      <c r="B105" s="6" t="s">
        <v>624</v>
      </c>
      <c r="C105" s="6" t="s">
        <v>260</v>
      </c>
      <c r="D105" s="7" t="s">
        <v>48</v>
      </c>
      <c r="E105" s="7" t="s">
        <v>49</v>
      </c>
      <c r="F105" s="7" t="s">
        <v>50</v>
      </c>
      <c r="G105" s="7" t="s">
        <v>5</v>
      </c>
      <c r="H105" s="7" t="s">
        <v>51</v>
      </c>
      <c r="I105" s="7" t="s">
        <v>52</v>
      </c>
      <c r="J105" s="7"/>
      <c r="K105" s="7" t="s">
        <v>51</v>
      </c>
      <c r="L105" s="7"/>
      <c r="M105" s="5" t="s">
        <v>86</v>
      </c>
      <c r="N105" s="5" t="s">
        <v>86</v>
      </c>
      <c r="O105" s="6"/>
    </row>
    <row r="106" spans="1:15" x14ac:dyDescent="0.35">
      <c r="A106" s="5" t="s">
        <v>831</v>
      </c>
      <c r="B106" s="6" t="s">
        <v>783</v>
      </c>
      <c r="C106" s="6" t="s">
        <v>419</v>
      </c>
      <c r="D106" s="6" t="s">
        <v>48</v>
      </c>
      <c r="E106" s="6" t="s">
        <v>49</v>
      </c>
      <c r="F106" s="6" t="s">
        <v>55</v>
      </c>
      <c r="G106" s="6" t="s">
        <v>9</v>
      </c>
      <c r="H106" s="6" t="s">
        <v>52</v>
      </c>
      <c r="I106" s="6" t="s">
        <v>52</v>
      </c>
      <c r="J106" s="6"/>
      <c r="K106" s="6"/>
      <c r="L106" s="6"/>
      <c r="M106" s="5" t="s">
        <v>59</v>
      </c>
      <c r="N106" s="5" t="s">
        <v>59</v>
      </c>
      <c r="O106" s="6" t="s">
        <v>54</v>
      </c>
    </row>
    <row r="107" spans="1:15" x14ac:dyDescent="0.35">
      <c r="A107" s="5" t="s">
        <v>842</v>
      </c>
      <c r="B107" s="6" t="s">
        <v>576</v>
      </c>
      <c r="C107" s="6" t="s">
        <v>212</v>
      </c>
      <c r="D107" s="6" t="s">
        <v>48</v>
      </c>
      <c r="E107" s="6" t="s">
        <v>49</v>
      </c>
      <c r="F107" s="6" t="s">
        <v>55</v>
      </c>
      <c r="G107" s="6" t="s">
        <v>5</v>
      </c>
      <c r="H107" s="6" t="s">
        <v>52</v>
      </c>
      <c r="I107" s="6" t="s">
        <v>52</v>
      </c>
      <c r="J107" s="6"/>
      <c r="K107" s="6"/>
      <c r="L107" s="6"/>
      <c r="M107" s="5" t="s">
        <v>57</v>
      </c>
      <c r="N107" s="5" t="s">
        <v>57</v>
      </c>
      <c r="O107" s="6" t="s">
        <v>54</v>
      </c>
    </row>
    <row r="108" spans="1:15" x14ac:dyDescent="0.35">
      <c r="A108" s="5" t="s">
        <v>880</v>
      </c>
      <c r="B108" s="7" t="s">
        <v>493</v>
      </c>
      <c r="C108" s="7" t="s">
        <v>129</v>
      </c>
      <c r="D108" s="6" t="s">
        <v>48</v>
      </c>
      <c r="E108" s="6" t="s">
        <v>49</v>
      </c>
      <c r="F108" s="6" t="s">
        <v>50</v>
      </c>
      <c r="G108" s="6" t="s">
        <v>25</v>
      </c>
      <c r="H108" s="6" t="s">
        <v>52</v>
      </c>
      <c r="I108" s="6" t="s">
        <v>52</v>
      </c>
      <c r="J108" s="6"/>
      <c r="K108" s="6"/>
      <c r="L108" s="6"/>
      <c r="M108" s="5" t="s">
        <v>59</v>
      </c>
      <c r="N108" s="5" t="s">
        <v>59</v>
      </c>
      <c r="O108" s="6" t="s">
        <v>54</v>
      </c>
    </row>
    <row r="109" spans="1:15" x14ac:dyDescent="0.35">
      <c r="A109" s="5" t="s">
        <v>891</v>
      </c>
      <c r="B109" s="6" t="s">
        <v>785</v>
      </c>
      <c r="C109" s="6" t="s">
        <v>421</v>
      </c>
      <c r="D109" s="6" t="s">
        <v>48</v>
      </c>
      <c r="E109" s="6" t="s">
        <v>49</v>
      </c>
      <c r="F109" s="6" t="s">
        <v>55</v>
      </c>
      <c r="G109" s="6" t="s">
        <v>13</v>
      </c>
      <c r="H109" s="6" t="s">
        <v>52</v>
      </c>
      <c r="I109" s="6" t="s">
        <v>52</v>
      </c>
      <c r="J109" s="6"/>
      <c r="K109" s="6"/>
      <c r="L109" s="6"/>
      <c r="M109" s="5" t="s">
        <v>63</v>
      </c>
      <c r="N109" s="5" t="s">
        <v>63</v>
      </c>
      <c r="O109" s="6" t="s">
        <v>54</v>
      </c>
    </row>
    <row r="110" spans="1:15" x14ac:dyDescent="0.35">
      <c r="A110" s="5" t="s">
        <v>841</v>
      </c>
      <c r="B110" s="6" t="s">
        <v>728</v>
      </c>
      <c r="C110" s="6" t="s">
        <v>364</v>
      </c>
      <c r="D110" s="7" t="s">
        <v>48</v>
      </c>
      <c r="E110" s="7" t="s">
        <v>49</v>
      </c>
      <c r="F110" s="7" t="s">
        <v>50</v>
      </c>
      <c r="G110" s="7" t="s">
        <v>15</v>
      </c>
      <c r="H110" s="7" t="s">
        <v>52</v>
      </c>
      <c r="I110" s="7" t="s">
        <v>52</v>
      </c>
      <c r="J110" s="7"/>
      <c r="K110" s="7"/>
      <c r="L110" s="7"/>
      <c r="M110" s="5" t="s">
        <v>57</v>
      </c>
      <c r="N110" s="5" t="s">
        <v>57</v>
      </c>
      <c r="O110" s="7" t="s">
        <v>54</v>
      </c>
    </row>
    <row r="111" spans="1:15" x14ac:dyDescent="0.35">
      <c r="A111" s="5" t="s">
        <v>892</v>
      </c>
      <c r="B111" s="6" t="s">
        <v>512</v>
      </c>
      <c r="C111" s="6" t="s">
        <v>148</v>
      </c>
      <c r="D111" s="7" t="s">
        <v>48</v>
      </c>
      <c r="E111" s="7" t="s">
        <v>49</v>
      </c>
      <c r="F111" s="7" t="s">
        <v>55</v>
      </c>
      <c r="G111" s="7" t="s">
        <v>5</v>
      </c>
      <c r="H111" s="7" t="s">
        <v>51</v>
      </c>
      <c r="I111" s="7" t="s">
        <v>52</v>
      </c>
      <c r="J111" s="7" t="s">
        <v>51</v>
      </c>
      <c r="K111" s="7" t="s">
        <v>51</v>
      </c>
      <c r="L111" s="7"/>
      <c r="M111" s="5" t="s">
        <v>56</v>
      </c>
      <c r="N111" s="5" t="s">
        <v>56</v>
      </c>
      <c r="O111" s="7" t="s">
        <v>54</v>
      </c>
    </row>
    <row r="112" spans="1:15" x14ac:dyDescent="0.35">
      <c r="A112" s="5" t="s">
        <v>849</v>
      </c>
      <c r="B112" s="7" t="s">
        <v>757</v>
      </c>
      <c r="C112" s="7" t="s">
        <v>393</v>
      </c>
      <c r="D112" s="6" t="s">
        <v>48</v>
      </c>
      <c r="E112" s="6" t="s">
        <v>49</v>
      </c>
      <c r="F112" s="6" t="s">
        <v>55</v>
      </c>
      <c r="G112" s="6" t="s">
        <v>9</v>
      </c>
      <c r="H112" s="6" t="s">
        <v>52</v>
      </c>
      <c r="I112" s="6" t="s">
        <v>60</v>
      </c>
      <c r="J112" s="6" t="s">
        <v>51</v>
      </c>
      <c r="K112" s="6"/>
      <c r="L112" s="6"/>
      <c r="M112" s="5" t="s">
        <v>59</v>
      </c>
      <c r="N112" s="5" t="s">
        <v>59</v>
      </c>
      <c r="O112" s="6" t="s">
        <v>54</v>
      </c>
    </row>
    <row r="113" spans="1:15" x14ac:dyDescent="0.35">
      <c r="A113" s="5" t="s">
        <v>893</v>
      </c>
      <c r="B113" s="6" t="s">
        <v>806</v>
      </c>
      <c r="C113" s="6" t="s">
        <v>442</v>
      </c>
      <c r="D113" s="6" t="s">
        <v>48</v>
      </c>
      <c r="E113" s="6" t="s">
        <v>49</v>
      </c>
      <c r="F113" s="6" t="s">
        <v>55</v>
      </c>
      <c r="G113" s="6" t="s">
        <v>7</v>
      </c>
      <c r="H113" s="6" t="s">
        <v>52</v>
      </c>
      <c r="I113" s="6" t="s">
        <v>52</v>
      </c>
      <c r="J113" s="6"/>
      <c r="K113" s="6"/>
      <c r="L113" s="6"/>
      <c r="M113" s="5" t="s">
        <v>67</v>
      </c>
      <c r="N113" s="5" t="s">
        <v>67</v>
      </c>
      <c r="O113" s="6" t="s">
        <v>54</v>
      </c>
    </row>
    <row r="114" spans="1:15" x14ac:dyDescent="0.35">
      <c r="A114" s="5" t="s">
        <v>894</v>
      </c>
      <c r="B114" s="6" t="s">
        <v>582</v>
      </c>
      <c r="C114" s="6" t="s">
        <v>218</v>
      </c>
      <c r="D114" s="6" t="s">
        <v>48</v>
      </c>
      <c r="E114" s="6" t="s">
        <v>49</v>
      </c>
      <c r="F114" s="6" t="s">
        <v>55</v>
      </c>
      <c r="G114" s="6" t="s">
        <v>26</v>
      </c>
      <c r="H114" s="6" t="s">
        <v>51</v>
      </c>
      <c r="I114" s="6" t="s">
        <v>52</v>
      </c>
      <c r="J114" s="6" t="s">
        <v>51</v>
      </c>
      <c r="K114" s="6" t="s">
        <v>51</v>
      </c>
      <c r="L114" s="6"/>
      <c r="M114" s="5" t="s">
        <v>79</v>
      </c>
      <c r="N114" s="5" t="s">
        <v>79</v>
      </c>
      <c r="O114" s="6" t="s">
        <v>54</v>
      </c>
    </row>
    <row r="115" spans="1:15" x14ac:dyDescent="0.35">
      <c r="A115" s="5" t="s">
        <v>842</v>
      </c>
      <c r="B115" s="7" t="s">
        <v>526</v>
      </c>
      <c r="C115" s="7" t="s">
        <v>162</v>
      </c>
      <c r="D115" s="6" t="s">
        <v>48</v>
      </c>
      <c r="E115" s="6" t="s">
        <v>49</v>
      </c>
      <c r="F115" s="6" t="s">
        <v>55</v>
      </c>
      <c r="G115" s="6" t="s">
        <v>9</v>
      </c>
      <c r="H115" s="6" t="s">
        <v>52</v>
      </c>
      <c r="I115" s="6" t="s">
        <v>52</v>
      </c>
      <c r="J115" s="6"/>
      <c r="K115" s="6"/>
      <c r="L115" s="6"/>
      <c r="M115" s="5" t="s">
        <v>57</v>
      </c>
      <c r="N115" s="5" t="s">
        <v>57</v>
      </c>
      <c r="O115" s="6" t="s">
        <v>54</v>
      </c>
    </row>
    <row r="116" spans="1:15" x14ac:dyDescent="0.35">
      <c r="A116" s="5" t="s">
        <v>876</v>
      </c>
      <c r="B116" s="7" t="s">
        <v>589</v>
      </c>
      <c r="C116" s="7" t="s">
        <v>225</v>
      </c>
      <c r="D116" s="6" t="s">
        <v>48</v>
      </c>
      <c r="E116" s="6" t="s">
        <v>49</v>
      </c>
      <c r="F116" s="6" t="s">
        <v>55</v>
      </c>
      <c r="G116" s="6" t="s">
        <v>9</v>
      </c>
      <c r="H116" s="6" t="s">
        <v>52</v>
      </c>
      <c r="I116" s="6" t="s">
        <v>81</v>
      </c>
      <c r="J116" s="6"/>
      <c r="K116" s="6"/>
      <c r="L116" s="6"/>
      <c r="M116" s="5" t="s">
        <v>63</v>
      </c>
      <c r="N116" s="5" t="s">
        <v>63</v>
      </c>
      <c r="O116" s="6" t="s">
        <v>54</v>
      </c>
    </row>
    <row r="117" spans="1:15" x14ac:dyDescent="0.35">
      <c r="A117" s="5" t="s">
        <v>856</v>
      </c>
      <c r="B117" s="6" t="s">
        <v>479</v>
      </c>
      <c r="C117" s="6" t="s">
        <v>115</v>
      </c>
      <c r="D117" s="6" t="s">
        <v>48</v>
      </c>
      <c r="E117" s="6" t="s">
        <v>49</v>
      </c>
      <c r="F117" s="6" t="s">
        <v>50</v>
      </c>
      <c r="G117" s="6" t="s">
        <v>9</v>
      </c>
      <c r="H117" s="6" t="s">
        <v>52</v>
      </c>
      <c r="I117" s="6" t="s">
        <v>52</v>
      </c>
      <c r="J117" s="6"/>
      <c r="K117" s="6"/>
      <c r="L117" s="6"/>
      <c r="M117" s="5" t="s">
        <v>61</v>
      </c>
      <c r="N117" s="5" t="s">
        <v>61</v>
      </c>
      <c r="O117" s="6" t="s">
        <v>54</v>
      </c>
    </row>
    <row r="118" spans="1:15" x14ac:dyDescent="0.35">
      <c r="A118" s="5" t="s">
        <v>875</v>
      </c>
      <c r="B118" s="6" t="s">
        <v>716</v>
      </c>
      <c r="C118" s="6" t="s">
        <v>352</v>
      </c>
      <c r="D118" s="7" t="s">
        <v>48</v>
      </c>
      <c r="E118" s="7" t="s">
        <v>49</v>
      </c>
      <c r="F118" s="7" t="s">
        <v>50</v>
      </c>
      <c r="G118" s="7" t="s">
        <v>26</v>
      </c>
      <c r="H118" s="7" t="s">
        <v>52</v>
      </c>
      <c r="I118" s="7" t="s">
        <v>60</v>
      </c>
      <c r="J118" s="7"/>
      <c r="K118" s="7"/>
      <c r="L118" s="7"/>
      <c r="M118" s="5" t="s">
        <v>67</v>
      </c>
      <c r="N118" s="5" t="s">
        <v>67</v>
      </c>
      <c r="O118" s="7" t="s">
        <v>54</v>
      </c>
    </row>
    <row r="119" spans="1:15" x14ac:dyDescent="0.35">
      <c r="A119" s="5" t="s">
        <v>860</v>
      </c>
      <c r="B119" s="6" t="s">
        <v>774</v>
      </c>
      <c r="C119" s="6" t="s">
        <v>410</v>
      </c>
      <c r="D119" s="7" t="s">
        <v>48</v>
      </c>
      <c r="E119" s="7" t="s">
        <v>49</v>
      </c>
      <c r="F119" s="7" t="s">
        <v>55</v>
      </c>
      <c r="G119" s="7" t="s">
        <v>9</v>
      </c>
      <c r="H119" s="7" t="s">
        <v>52</v>
      </c>
      <c r="I119" s="7" t="s">
        <v>52</v>
      </c>
      <c r="J119" s="7" t="s">
        <v>51</v>
      </c>
      <c r="K119" s="7" t="s">
        <v>51</v>
      </c>
      <c r="L119" s="7" t="s">
        <v>91</v>
      </c>
      <c r="M119" s="5" t="s">
        <v>63</v>
      </c>
      <c r="N119" s="5" t="s">
        <v>63</v>
      </c>
      <c r="O119" s="7" t="s">
        <v>54</v>
      </c>
    </row>
    <row r="120" spans="1:15" x14ac:dyDescent="0.35">
      <c r="A120" s="5" t="s">
        <v>877</v>
      </c>
      <c r="B120" s="6" t="s">
        <v>615</v>
      </c>
      <c r="C120" s="6" t="s">
        <v>251</v>
      </c>
      <c r="D120" s="6" t="s">
        <v>48</v>
      </c>
      <c r="E120" s="6" t="s">
        <v>49</v>
      </c>
      <c r="F120" s="6" t="s">
        <v>50</v>
      </c>
      <c r="G120" s="6" t="s">
        <v>0</v>
      </c>
      <c r="H120" s="6" t="s">
        <v>52</v>
      </c>
      <c r="I120" s="6" t="s">
        <v>52</v>
      </c>
      <c r="J120" s="6"/>
      <c r="K120" s="6"/>
      <c r="L120" s="6"/>
      <c r="M120" s="5" t="s">
        <v>63</v>
      </c>
      <c r="N120" s="5" t="s">
        <v>63</v>
      </c>
      <c r="O120" s="6" t="s">
        <v>54</v>
      </c>
    </row>
    <row r="121" spans="1:15" x14ac:dyDescent="0.35">
      <c r="A121" s="5" t="s">
        <v>861</v>
      </c>
      <c r="B121" s="6" t="s">
        <v>771</v>
      </c>
      <c r="C121" s="6" t="s">
        <v>407</v>
      </c>
      <c r="D121" s="6" t="s">
        <v>48</v>
      </c>
      <c r="E121" s="6" t="s">
        <v>49</v>
      </c>
      <c r="F121" s="6" t="s">
        <v>50</v>
      </c>
      <c r="G121" s="6" t="s">
        <v>18</v>
      </c>
      <c r="H121" s="6" t="s">
        <v>52</v>
      </c>
      <c r="I121" s="6" t="s">
        <v>52</v>
      </c>
      <c r="J121" s="6"/>
      <c r="K121" s="6"/>
      <c r="L121" s="6"/>
      <c r="M121" s="5" t="s">
        <v>59</v>
      </c>
      <c r="N121" s="5" t="s">
        <v>59</v>
      </c>
      <c r="O121" s="6" t="s">
        <v>54</v>
      </c>
    </row>
    <row r="122" spans="1:15" x14ac:dyDescent="0.35">
      <c r="A122" s="5" t="s">
        <v>887</v>
      </c>
      <c r="B122" s="7" t="s">
        <v>739</v>
      </c>
      <c r="C122" s="7" t="s">
        <v>375</v>
      </c>
      <c r="D122" s="6" t="s">
        <v>48</v>
      </c>
      <c r="E122" s="6" t="s">
        <v>49</v>
      </c>
      <c r="F122" s="6" t="s">
        <v>55</v>
      </c>
      <c r="G122" s="6" t="s">
        <v>9</v>
      </c>
      <c r="H122" s="6" t="s">
        <v>52</v>
      </c>
      <c r="I122" s="6" t="s">
        <v>52</v>
      </c>
      <c r="J122" s="6"/>
      <c r="K122" s="6"/>
      <c r="L122" s="6"/>
      <c r="M122" s="5" t="s">
        <v>69</v>
      </c>
      <c r="N122" s="5" t="s">
        <v>69</v>
      </c>
      <c r="O122" s="6" t="s">
        <v>54</v>
      </c>
    </row>
    <row r="123" spans="1:15" x14ac:dyDescent="0.35">
      <c r="A123" s="5" t="s">
        <v>892</v>
      </c>
      <c r="B123" s="6" t="s">
        <v>579</v>
      </c>
      <c r="C123" s="6" t="s">
        <v>215</v>
      </c>
      <c r="D123" s="7" t="s">
        <v>48</v>
      </c>
      <c r="E123" s="7" t="s">
        <v>49</v>
      </c>
      <c r="F123" s="7" t="s">
        <v>55</v>
      </c>
      <c r="G123" s="7" t="s">
        <v>26</v>
      </c>
      <c r="H123" s="7" t="s">
        <v>52</v>
      </c>
      <c r="I123" s="7" t="s">
        <v>52</v>
      </c>
      <c r="J123" s="7"/>
      <c r="K123" s="7"/>
      <c r="L123" s="7"/>
      <c r="M123" s="5" t="s">
        <v>56</v>
      </c>
      <c r="N123" s="5" t="s">
        <v>56</v>
      </c>
      <c r="O123" s="7" t="s">
        <v>54</v>
      </c>
    </row>
    <row r="124" spans="1:15" x14ac:dyDescent="0.35">
      <c r="A124" s="5" t="s">
        <v>895</v>
      </c>
      <c r="B124" s="6" t="s">
        <v>803</v>
      </c>
      <c r="C124" s="6" t="s">
        <v>439</v>
      </c>
      <c r="D124" s="7" t="s">
        <v>48</v>
      </c>
      <c r="E124" s="7" t="s">
        <v>49</v>
      </c>
      <c r="F124" s="7" t="s">
        <v>55</v>
      </c>
      <c r="G124" s="7" t="s">
        <v>17</v>
      </c>
      <c r="H124" s="7" t="s">
        <v>52</v>
      </c>
      <c r="I124" s="7" t="s">
        <v>52</v>
      </c>
      <c r="J124" s="7"/>
      <c r="K124" s="7"/>
      <c r="L124" s="7"/>
      <c r="M124" s="5" t="s">
        <v>82</v>
      </c>
      <c r="N124" s="5" t="s">
        <v>82</v>
      </c>
      <c r="O124" s="7" t="s">
        <v>54</v>
      </c>
    </row>
    <row r="125" spans="1:15" x14ac:dyDescent="0.35">
      <c r="A125" s="5" t="s">
        <v>896</v>
      </c>
      <c r="B125" s="7" t="s">
        <v>556</v>
      </c>
      <c r="C125" s="7" t="s">
        <v>192</v>
      </c>
      <c r="D125" s="6" t="s">
        <v>48</v>
      </c>
      <c r="E125" s="6" t="s">
        <v>49</v>
      </c>
      <c r="F125" s="6" t="s">
        <v>55</v>
      </c>
      <c r="G125" s="6" t="s">
        <v>9</v>
      </c>
      <c r="H125" s="6" t="s">
        <v>52</v>
      </c>
      <c r="I125" s="6" t="s">
        <v>52</v>
      </c>
      <c r="J125" s="6"/>
      <c r="K125" s="6"/>
      <c r="L125" s="6"/>
      <c r="M125" s="5" t="s">
        <v>69</v>
      </c>
      <c r="N125" s="5" t="s">
        <v>69</v>
      </c>
      <c r="O125" s="6" t="s">
        <v>54</v>
      </c>
    </row>
    <row r="126" spans="1:15" x14ac:dyDescent="0.35">
      <c r="A126" s="5" t="s">
        <v>897</v>
      </c>
      <c r="B126" s="6" t="s">
        <v>564</v>
      </c>
      <c r="C126" s="6" t="s">
        <v>200</v>
      </c>
      <c r="D126" s="6" t="s">
        <v>48</v>
      </c>
      <c r="E126" s="6" t="s">
        <v>49</v>
      </c>
      <c r="F126" s="6" t="s">
        <v>55</v>
      </c>
      <c r="G126" s="6" t="s">
        <v>13</v>
      </c>
      <c r="H126" s="6" t="s">
        <v>51</v>
      </c>
      <c r="I126" s="6" t="s">
        <v>52</v>
      </c>
      <c r="J126" s="6" t="s">
        <v>51</v>
      </c>
      <c r="K126" s="6"/>
      <c r="L126" s="6"/>
      <c r="M126" s="5" t="s">
        <v>69</v>
      </c>
      <c r="N126" s="5" t="s">
        <v>69</v>
      </c>
      <c r="O126" s="6" t="s">
        <v>54</v>
      </c>
    </row>
    <row r="127" spans="1:15" x14ac:dyDescent="0.35">
      <c r="A127" s="5" t="s">
        <v>898</v>
      </c>
      <c r="B127" s="6" t="s">
        <v>795</v>
      </c>
      <c r="C127" s="6" t="s">
        <v>431</v>
      </c>
      <c r="D127" s="7" t="s">
        <v>48</v>
      </c>
      <c r="E127" s="7" t="s">
        <v>49</v>
      </c>
      <c r="F127" s="7" t="s">
        <v>55</v>
      </c>
      <c r="G127" s="7" t="s">
        <v>8</v>
      </c>
      <c r="H127" s="7" t="s">
        <v>51</v>
      </c>
      <c r="I127" s="7" t="s">
        <v>52</v>
      </c>
      <c r="J127" s="7"/>
      <c r="K127" s="7"/>
      <c r="L127" s="7"/>
      <c r="M127" s="5" t="s">
        <v>61</v>
      </c>
      <c r="N127" s="5" t="s">
        <v>61</v>
      </c>
      <c r="O127" s="7" t="s">
        <v>54</v>
      </c>
    </row>
    <row r="128" spans="1:15" x14ac:dyDescent="0.35">
      <c r="A128" s="5" t="s">
        <v>876</v>
      </c>
      <c r="B128" s="6" t="s">
        <v>797</v>
      </c>
      <c r="C128" s="6" t="s">
        <v>433</v>
      </c>
      <c r="D128" s="7" t="s">
        <v>48</v>
      </c>
      <c r="E128" s="7" t="s">
        <v>49</v>
      </c>
      <c r="F128" s="7" t="s">
        <v>55</v>
      </c>
      <c r="G128" s="7" t="s">
        <v>26</v>
      </c>
      <c r="H128" s="7" t="s">
        <v>52</v>
      </c>
      <c r="I128" s="7" t="s">
        <v>52</v>
      </c>
      <c r="J128" s="7" t="s">
        <v>51</v>
      </c>
      <c r="K128" s="7"/>
      <c r="L128" s="7" t="s">
        <v>68</v>
      </c>
      <c r="M128" s="5" t="s">
        <v>63</v>
      </c>
      <c r="N128" s="5" t="s">
        <v>63</v>
      </c>
      <c r="O128" s="7" t="s">
        <v>54</v>
      </c>
    </row>
    <row r="129" spans="1:15" x14ac:dyDescent="0.35">
      <c r="A129" s="5" t="s">
        <v>831</v>
      </c>
      <c r="B129" s="6" t="s">
        <v>756</v>
      </c>
      <c r="C129" s="6" t="s">
        <v>392</v>
      </c>
      <c r="D129" s="7" t="s">
        <v>48</v>
      </c>
      <c r="E129" s="7" t="s">
        <v>49</v>
      </c>
      <c r="F129" s="7" t="s">
        <v>55</v>
      </c>
      <c r="G129" s="7" t="s">
        <v>28</v>
      </c>
      <c r="H129" s="7" t="s">
        <v>51</v>
      </c>
      <c r="I129" s="7" t="s">
        <v>52</v>
      </c>
      <c r="J129" s="7" t="s">
        <v>51</v>
      </c>
      <c r="K129" s="7" t="s">
        <v>51</v>
      </c>
      <c r="L129" s="7"/>
      <c r="M129" s="5" t="s">
        <v>59</v>
      </c>
      <c r="N129" s="5" t="s">
        <v>59</v>
      </c>
      <c r="O129" s="7" t="s">
        <v>54</v>
      </c>
    </row>
    <row r="130" spans="1:15" x14ac:dyDescent="0.35">
      <c r="A130" s="5" t="s">
        <v>846</v>
      </c>
      <c r="B130" s="6" t="s">
        <v>663</v>
      </c>
      <c r="C130" s="6" t="s">
        <v>299</v>
      </c>
      <c r="D130" s="6" t="s">
        <v>48</v>
      </c>
      <c r="E130" s="6" t="s">
        <v>49</v>
      </c>
      <c r="F130" s="6" t="s">
        <v>50</v>
      </c>
      <c r="G130" s="6" t="s">
        <v>7</v>
      </c>
      <c r="H130" s="6" t="s">
        <v>52</v>
      </c>
      <c r="I130" s="6" t="s">
        <v>52</v>
      </c>
      <c r="J130" s="6"/>
      <c r="K130" s="6"/>
      <c r="L130" s="6"/>
      <c r="M130" s="5" t="s">
        <v>57</v>
      </c>
      <c r="N130" s="5" t="s">
        <v>57</v>
      </c>
      <c r="O130" s="6" t="s">
        <v>54</v>
      </c>
    </row>
    <row r="131" spans="1:15" x14ac:dyDescent="0.35">
      <c r="A131" s="5" t="s">
        <v>861</v>
      </c>
      <c r="B131" s="6" t="s">
        <v>489</v>
      </c>
      <c r="C131" s="6" t="s">
        <v>125</v>
      </c>
      <c r="D131" s="6" t="s">
        <v>48</v>
      </c>
      <c r="E131" s="6" t="s">
        <v>49</v>
      </c>
      <c r="F131" s="6" t="s">
        <v>50</v>
      </c>
      <c r="G131" s="6" t="s">
        <v>2</v>
      </c>
      <c r="H131" s="6" t="s">
        <v>52</v>
      </c>
      <c r="I131" s="6" t="s">
        <v>52</v>
      </c>
      <c r="J131" s="6"/>
      <c r="K131" s="6"/>
      <c r="L131" s="6"/>
      <c r="M131" s="5" t="s">
        <v>59</v>
      </c>
      <c r="N131" s="5" t="s">
        <v>59</v>
      </c>
      <c r="O131" s="6" t="s">
        <v>54</v>
      </c>
    </row>
    <row r="132" spans="1:15" x14ac:dyDescent="0.35">
      <c r="A132" s="5" t="s">
        <v>870</v>
      </c>
      <c r="B132" s="6" t="s">
        <v>762</v>
      </c>
      <c r="C132" s="6" t="s">
        <v>398</v>
      </c>
      <c r="D132" s="7" t="s">
        <v>48</v>
      </c>
      <c r="E132" s="7" t="s">
        <v>49</v>
      </c>
      <c r="F132" s="7" t="s">
        <v>50</v>
      </c>
      <c r="G132" s="7" t="s">
        <v>19</v>
      </c>
      <c r="H132" s="7" t="s">
        <v>52</v>
      </c>
      <c r="I132" s="7" t="s">
        <v>60</v>
      </c>
      <c r="J132" s="7" t="s">
        <v>51</v>
      </c>
      <c r="K132" s="7" t="s">
        <v>58</v>
      </c>
      <c r="L132" s="7"/>
      <c r="M132" s="5" t="s">
        <v>67</v>
      </c>
      <c r="N132" s="5" t="s">
        <v>67</v>
      </c>
      <c r="O132" s="7" t="s">
        <v>54</v>
      </c>
    </row>
    <row r="133" spans="1:15" x14ac:dyDescent="0.35">
      <c r="A133" s="5" t="s">
        <v>875</v>
      </c>
      <c r="B133" s="6" t="s">
        <v>681</v>
      </c>
      <c r="C133" s="6" t="s">
        <v>317</v>
      </c>
      <c r="D133" s="6" t="s">
        <v>48</v>
      </c>
      <c r="E133" s="6" t="s">
        <v>49</v>
      </c>
      <c r="F133" s="6" t="s">
        <v>50</v>
      </c>
      <c r="G133" s="6" t="s">
        <v>5</v>
      </c>
      <c r="H133" s="6" t="s">
        <v>52</v>
      </c>
      <c r="I133" s="6" t="s">
        <v>52</v>
      </c>
      <c r="J133" s="6"/>
      <c r="K133" s="6"/>
      <c r="L133" s="6"/>
      <c r="M133" s="5" t="s">
        <v>67</v>
      </c>
      <c r="N133" s="5" t="s">
        <v>67</v>
      </c>
      <c r="O133" s="6" t="s">
        <v>54</v>
      </c>
    </row>
    <row r="134" spans="1:15" x14ac:dyDescent="0.35">
      <c r="A134" s="5" t="s">
        <v>899</v>
      </c>
      <c r="B134" s="7" t="s">
        <v>808</v>
      </c>
      <c r="C134" s="7" t="s">
        <v>444</v>
      </c>
      <c r="D134" s="6" t="s">
        <v>48</v>
      </c>
      <c r="E134" s="6" t="s">
        <v>49</v>
      </c>
      <c r="F134" s="6" t="s">
        <v>50</v>
      </c>
      <c r="G134" s="6" t="s">
        <v>18</v>
      </c>
      <c r="H134" s="6" t="s">
        <v>52</v>
      </c>
      <c r="I134" s="6" t="s">
        <v>60</v>
      </c>
      <c r="J134" s="6" t="s">
        <v>51</v>
      </c>
      <c r="K134" s="6"/>
      <c r="L134" s="6"/>
      <c r="M134" s="5" t="s">
        <v>96</v>
      </c>
      <c r="N134" s="5" t="s">
        <v>96</v>
      </c>
      <c r="O134" s="6" t="s">
        <v>54</v>
      </c>
    </row>
    <row r="135" spans="1:15" x14ac:dyDescent="0.35">
      <c r="A135" s="5" t="s">
        <v>900</v>
      </c>
      <c r="B135" s="6" t="s">
        <v>770</v>
      </c>
      <c r="C135" s="6" t="s">
        <v>406</v>
      </c>
      <c r="D135" s="7" t="s">
        <v>48</v>
      </c>
      <c r="E135" s="7" t="s">
        <v>49</v>
      </c>
      <c r="F135" s="7" t="s">
        <v>50</v>
      </c>
      <c r="G135" s="7" t="s">
        <v>5</v>
      </c>
      <c r="H135" s="7" t="s">
        <v>52</v>
      </c>
      <c r="I135" s="7" t="s">
        <v>60</v>
      </c>
      <c r="J135" s="7"/>
      <c r="K135" s="7"/>
      <c r="L135" s="7"/>
      <c r="M135" s="5" t="s">
        <v>69</v>
      </c>
      <c r="N135" s="5" t="s">
        <v>69</v>
      </c>
      <c r="O135" s="7" t="s">
        <v>54</v>
      </c>
    </row>
    <row r="136" spans="1:15" x14ac:dyDescent="0.35">
      <c r="A136" s="5" t="s">
        <v>833</v>
      </c>
      <c r="B136" s="7" t="s">
        <v>496</v>
      </c>
      <c r="C136" s="7" t="s">
        <v>132</v>
      </c>
      <c r="D136" s="7" t="s">
        <v>48</v>
      </c>
      <c r="E136" s="7" t="s">
        <v>49</v>
      </c>
      <c r="F136" s="7" t="s">
        <v>55</v>
      </c>
      <c r="G136" s="7" t="s">
        <v>9</v>
      </c>
      <c r="H136" s="7" t="s">
        <v>52</v>
      </c>
      <c r="I136" s="7" t="s">
        <v>65</v>
      </c>
      <c r="J136" s="7"/>
      <c r="K136" s="7"/>
      <c r="L136" s="7"/>
      <c r="M136" s="5" t="s">
        <v>59</v>
      </c>
      <c r="N136" s="5" t="s">
        <v>59</v>
      </c>
      <c r="O136" s="7" t="s">
        <v>54</v>
      </c>
    </row>
    <row r="137" spans="1:15" x14ac:dyDescent="0.35">
      <c r="A137" s="5" t="s">
        <v>901</v>
      </c>
      <c r="B137" s="6" t="s">
        <v>677</v>
      </c>
      <c r="C137" s="6" t="s">
        <v>313</v>
      </c>
      <c r="D137" s="6" t="s">
        <v>93</v>
      </c>
      <c r="E137" s="6" t="s">
        <v>49</v>
      </c>
      <c r="F137" s="6" t="s">
        <v>50</v>
      </c>
      <c r="G137" s="6" t="s">
        <v>5</v>
      </c>
      <c r="H137" s="6" t="s">
        <v>52</v>
      </c>
      <c r="I137" s="6" t="s">
        <v>60</v>
      </c>
      <c r="J137" s="6"/>
      <c r="K137" s="6"/>
      <c r="L137" s="6"/>
      <c r="M137" s="5" t="s">
        <v>61</v>
      </c>
      <c r="N137" s="5" t="s">
        <v>61</v>
      </c>
      <c r="O137" s="6" t="s">
        <v>54</v>
      </c>
    </row>
    <row r="138" spans="1:15" x14ac:dyDescent="0.35">
      <c r="A138" s="5" t="s">
        <v>860</v>
      </c>
      <c r="B138" s="6" t="s">
        <v>504</v>
      </c>
      <c r="C138" s="6" t="s">
        <v>140</v>
      </c>
      <c r="D138" s="7" t="s">
        <v>48</v>
      </c>
      <c r="E138" s="7" t="s">
        <v>49</v>
      </c>
      <c r="F138" s="7" t="s">
        <v>55</v>
      </c>
      <c r="G138" s="7" t="s">
        <v>5</v>
      </c>
      <c r="H138" s="7" t="s">
        <v>52</v>
      </c>
      <c r="I138" s="7" t="s">
        <v>52</v>
      </c>
      <c r="J138" s="7"/>
      <c r="K138" s="7"/>
      <c r="L138" s="7"/>
      <c r="M138" s="5" t="s">
        <v>63</v>
      </c>
      <c r="N138" s="5" t="s">
        <v>63</v>
      </c>
      <c r="O138" s="7" t="s">
        <v>54</v>
      </c>
    </row>
    <row r="139" spans="1:15" x14ac:dyDescent="0.35">
      <c r="A139" s="5" t="s">
        <v>842</v>
      </c>
      <c r="B139" s="6" t="s">
        <v>612</v>
      </c>
      <c r="C139" s="6" t="s">
        <v>248</v>
      </c>
      <c r="D139" s="7" t="s">
        <v>48</v>
      </c>
      <c r="E139" s="7" t="s">
        <v>49</v>
      </c>
      <c r="F139" s="7" t="s">
        <v>55</v>
      </c>
      <c r="G139" s="7" t="s">
        <v>26</v>
      </c>
      <c r="H139" s="7" t="s">
        <v>52</v>
      </c>
      <c r="I139" s="7" t="s">
        <v>52</v>
      </c>
      <c r="J139" s="7" t="s">
        <v>51</v>
      </c>
      <c r="K139" s="7"/>
      <c r="L139" s="7"/>
      <c r="M139" s="5" t="s">
        <v>57</v>
      </c>
      <c r="N139" s="5" t="s">
        <v>57</v>
      </c>
      <c r="O139" s="7" t="s">
        <v>54</v>
      </c>
    </row>
    <row r="140" spans="1:15" x14ac:dyDescent="0.35">
      <c r="A140" s="5" t="s">
        <v>856</v>
      </c>
      <c r="B140" s="6" t="s">
        <v>585</v>
      </c>
      <c r="C140" s="6" t="s">
        <v>221</v>
      </c>
      <c r="D140" s="6" t="s">
        <v>48</v>
      </c>
      <c r="E140" s="6" t="s">
        <v>49</v>
      </c>
      <c r="F140" s="6" t="s">
        <v>50</v>
      </c>
      <c r="G140" s="6" t="s">
        <v>5</v>
      </c>
      <c r="H140" s="6" t="s">
        <v>52</v>
      </c>
      <c r="I140" s="6" t="s">
        <v>52</v>
      </c>
      <c r="J140" s="6" t="s">
        <v>51</v>
      </c>
      <c r="K140" s="6" t="s">
        <v>51</v>
      </c>
      <c r="L140" s="6"/>
      <c r="M140" s="5" t="s">
        <v>61</v>
      </c>
      <c r="N140" s="5" t="s">
        <v>61</v>
      </c>
      <c r="O140" s="6" t="s">
        <v>54</v>
      </c>
    </row>
    <row r="141" spans="1:15" x14ac:dyDescent="0.35">
      <c r="A141" s="5" t="s">
        <v>872</v>
      </c>
      <c r="B141" s="6" t="s">
        <v>696</v>
      </c>
      <c r="C141" s="6" t="s">
        <v>332</v>
      </c>
      <c r="D141" s="6" t="s">
        <v>48</v>
      </c>
      <c r="E141" s="6" t="s">
        <v>49</v>
      </c>
      <c r="F141" s="6" t="s">
        <v>55</v>
      </c>
      <c r="G141" s="6" t="s">
        <v>5</v>
      </c>
      <c r="H141" s="6" t="s">
        <v>52</v>
      </c>
      <c r="I141" s="6" t="s">
        <v>52</v>
      </c>
      <c r="J141" s="6"/>
      <c r="K141" s="6"/>
      <c r="L141" s="6"/>
      <c r="M141" s="5" t="s">
        <v>57</v>
      </c>
      <c r="N141" s="5" t="s">
        <v>57</v>
      </c>
      <c r="O141" s="6" t="s">
        <v>54</v>
      </c>
    </row>
    <row r="142" spans="1:15" x14ac:dyDescent="0.35">
      <c r="A142" s="5" t="s">
        <v>902</v>
      </c>
      <c r="B142" s="6" t="s">
        <v>741</v>
      </c>
      <c r="C142" s="6" t="s">
        <v>377</v>
      </c>
      <c r="D142" s="6" t="s">
        <v>48</v>
      </c>
      <c r="E142" s="6" t="s">
        <v>49</v>
      </c>
      <c r="F142" s="6" t="s">
        <v>50</v>
      </c>
      <c r="G142" s="6" t="s">
        <v>23</v>
      </c>
      <c r="H142" s="6" t="s">
        <v>52</v>
      </c>
      <c r="I142" s="6" t="s">
        <v>64</v>
      </c>
      <c r="J142" s="6" t="s">
        <v>51</v>
      </c>
      <c r="K142" s="6"/>
      <c r="L142" s="6" t="s">
        <v>62</v>
      </c>
      <c r="M142" s="5" t="s">
        <v>74</v>
      </c>
      <c r="N142" s="5" t="s">
        <v>74</v>
      </c>
      <c r="O142" s="6" t="s">
        <v>54</v>
      </c>
    </row>
    <row r="143" spans="1:15" x14ac:dyDescent="0.35">
      <c r="A143" s="5" t="s">
        <v>871</v>
      </c>
      <c r="B143" s="7" t="s">
        <v>541</v>
      </c>
      <c r="C143" s="7" t="s">
        <v>177</v>
      </c>
      <c r="D143" s="7" t="s">
        <v>48</v>
      </c>
      <c r="E143" s="7" t="s">
        <v>49</v>
      </c>
      <c r="F143" s="7" t="s">
        <v>50</v>
      </c>
      <c r="G143" s="7" t="s">
        <v>5</v>
      </c>
      <c r="H143" s="7" t="s">
        <v>52</v>
      </c>
      <c r="I143" s="7" t="s">
        <v>52</v>
      </c>
      <c r="J143" s="7"/>
      <c r="K143" s="7"/>
      <c r="L143" s="7"/>
      <c r="M143" s="5" t="s">
        <v>56</v>
      </c>
      <c r="N143" s="5" t="s">
        <v>56</v>
      </c>
      <c r="O143" s="7" t="s">
        <v>54</v>
      </c>
    </row>
    <row r="144" spans="1:15" x14ac:dyDescent="0.35">
      <c r="A144" s="5" t="s">
        <v>861</v>
      </c>
      <c r="B144" s="7" t="s">
        <v>688</v>
      </c>
      <c r="C144" s="7" t="s">
        <v>324</v>
      </c>
      <c r="D144" s="6" t="s">
        <v>48</v>
      </c>
      <c r="E144" s="6" t="s">
        <v>49</v>
      </c>
      <c r="F144" s="6" t="s">
        <v>50</v>
      </c>
      <c r="G144" s="6" t="s">
        <v>26</v>
      </c>
      <c r="H144" s="6" t="s">
        <v>52</v>
      </c>
      <c r="I144" s="6" t="s">
        <v>52</v>
      </c>
      <c r="J144" s="6" t="s">
        <v>51</v>
      </c>
      <c r="K144" s="6"/>
      <c r="L144" s="6"/>
      <c r="M144" s="5" t="s">
        <v>59</v>
      </c>
      <c r="N144" s="5" t="s">
        <v>59</v>
      </c>
      <c r="O144" s="6" t="s">
        <v>54</v>
      </c>
    </row>
    <row r="145" spans="1:15" x14ac:dyDescent="0.35">
      <c r="A145" s="5" t="s">
        <v>903</v>
      </c>
      <c r="B145" s="7" t="s">
        <v>574</v>
      </c>
      <c r="C145" s="7" t="s">
        <v>210</v>
      </c>
      <c r="D145" s="6" t="s">
        <v>48</v>
      </c>
      <c r="E145" s="6" t="s">
        <v>49</v>
      </c>
      <c r="F145" s="6" t="s">
        <v>55</v>
      </c>
      <c r="G145" s="6" t="s">
        <v>29</v>
      </c>
      <c r="H145" s="6" t="s">
        <v>52</v>
      </c>
      <c r="I145" s="6" t="s">
        <v>52</v>
      </c>
      <c r="J145" s="6"/>
      <c r="K145" s="6"/>
      <c r="L145" s="6"/>
      <c r="M145" s="5" t="s">
        <v>78</v>
      </c>
      <c r="N145" s="5" t="s">
        <v>78</v>
      </c>
      <c r="O145" s="6" t="s">
        <v>54</v>
      </c>
    </row>
    <row r="146" spans="1:15" x14ac:dyDescent="0.35">
      <c r="A146" s="5" t="s">
        <v>904</v>
      </c>
      <c r="B146" s="7" t="s">
        <v>487</v>
      </c>
      <c r="C146" s="7" t="s">
        <v>123</v>
      </c>
      <c r="D146" s="6" t="s">
        <v>48</v>
      </c>
      <c r="E146" s="6" t="s">
        <v>49</v>
      </c>
      <c r="F146" s="6" t="s">
        <v>55</v>
      </c>
      <c r="G146" s="6" t="s">
        <v>26</v>
      </c>
      <c r="H146" s="6" t="s">
        <v>52</v>
      </c>
      <c r="I146" s="6" t="s">
        <v>52</v>
      </c>
      <c r="J146" s="6"/>
      <c r="K146" s="6"/>
      <c r="L146" s="6"/>
      <c r="M146" s="5" t="s">
        <v>57</v>
      </c>
      <c r="N146" s="5" t="s">
        <v>57</v>
      </c>
      <c r="O146" s="6" t="s">
        <v>54</v>
      </c>
    </row>
    <row r="147" spans="1:15" x14ac:dyDescent="0.35">
      <c r="A147" s="5" t="s">
        <v>905</v>
      </c>
      <c r="B147" s="6" t="s">
        <v>599</v>
      </c>
      <c r="C147" s="6" t="s">
        <v>235</v>
      </c>
      <c r="D147" s="6" t="s">
        <v>48</v>
      </c>
      <c r="E147" s="6" t="s">
        <v>49</v>
      </c>
      <c r="F147" s="6" t="s">
        <v>50</v>
      </c>
      <c r="G147" s="6" t="s">
        <v>9</v>
      </c>
      <c r="H147" s="6" t="s">
        <v>52</v>
      </c>
      <c r="I147" s="6" t="s">
        <v>64</v>
      </c>
      <c r="J147" s="6" t="s">
        <v>51</v>
      </c>
      <c r="K147" s="6" t="s">
        <v>51</v>
      </c>
      <c r="L147" s="6"/>
      <c r="M147" s="5" t="s">
        <v>74</v>
      </c>
      <c r="N147" s="5" t="s">
        <v>74</v>
      </c>
      <c r="O147" s="6" t="s">
        <v>54</v>
      </c>
    </row>
    <row r="148" spans="1:15" x14ac:dyDescent="0.35">
      <c r="A148" s="5" t="s">
        <v>906</v>
      </c>
      <c r="B148" s="7" t="s">
        <v>562</v>
      </c>
      <c r="C148" s="7" t="s">
        <v>198</v>
      </c>
      <c r="D148" s="6" t="s">
        <v>48</v>
      </c>
      <c r="E148" s="6" t="s">
        <v>49</v>
      </c>
      <c r="F148" s="6" t="s">
        <v>50</v>
      </c>
      <c r="G148" s="6" t="s">
        <v>29</v>
      </c>
      <c r="H148" s="6" t="s">
        <v>52</v>
      </c>
      <c r="I148" s="6" t="s">
        <v>52</v>
      </c>
      <c r="J148" s="6"/>
      <c r="K148" s="6"/>
      <c r="L148" s="6"/>
      <c r="M148" s="5" t="s">
        <v>56</v>
      </c>
      <c r="N148" s="5" t="s">
        <v>56</v>
      </c>
      <c r="O148" s="6" t="s">
        <v>54</v>
      </c>
    </row>
    <row r="149" spans="1:15" x14ac:dyDescent="0.35">
      <c r="A149" s="5" t="s">
        <v>867</v>
      </c>
      <c r="B149" s="7" t="s">
        <v>643</v>
      </c>
      <c r="C149" s="7" t="s">
        <v>279</v>
      </c>
      <c r="D149" s="7" t="s">
        <v>48</v>
      </c>
      <c r="E149" s="7" t="s">
        <v>49</v>
      </c>
      <c r="F149" s="7" t="s">
        <v>50</v>
      </c>
      <c r="G149" s="7" t="s">
        <v>26</v>
      </c>
      <c r="H149" s="7" t="s">
        <v>52</v>
      </c>
      <c r="I149" s="7" t="s">
        <v>52</v>
      </c>
      <c r="J149" s="7"/>
      <c r="K149" s="7"/>
      <c r="L149" s="7"/>
      <c r="M149" s="5" t="s">
        <v>63</v>
      </c>
      <c r="N149" s="5" t="s">
        <v>63</v>
      </c>
      <c r="O149" s="7" t="s">
        <v>54</v>
      </c>
    </row>
    <row r="150" spans="1:15" x14ac:dyDescent="0.35">
      <c r="A150" s="5" t="s">
        <v>907</v>
      </c>
      <c r="B150" s="7" t="s">
        <v>607</v>
      </c>
      <c r="C150" s="7" t="s">
        <v>243</v>
      </c>
      <c r="D150" s="6" t="s">
        <v>48</v>
      </c>
      <c r="E150" s="6" t="s">
        <v>49</v>
      </c>
      <c r="F150" s="6" t="s">
        <v>50</v>
      </c>
      <c r="G150" s="6" t="s">
        <v>9</v>
      </c>
      <c r="H150" s="6" t="s">
        <v>51</v>
      </c>
      <c r="I150" s="6" t="s">
        <v>52</v>
      </c>
      <c r="J150" s="6" t="s">
        <v>51</v>
      </c>
      <c r="K150" s="6" t="s">
        <v>51</v>
      </c>
      <c r="L150" s="6"/>
      <c r="M150" s="5" t="s">
        <v>83</v>
      </c>
      <c r="N150" s="5" t="s">
        <v>83</v>
      </c>
      <c r="O150" s="6" t="s">
        <v>54</v>
      </c>
    </row>
    <row r="151" spans="1:15" x14ac:dyDescent="0.35">
      <c r="A151" s="5" t="s">
        <v>908</v>
      </c>
      <c r="B151" s="7" t="s">
        <v>742</v>
      </c>
      <c r="C151" s="7" t="s">
        <v>378</v>
      </c>
      <c r="D151" s="7" t="s">
        <v>48</v>
      </c>
      <c r="E151" s="7" t="s">
        <v>49</v>
      </c>
      <c r="F151" s="7" t="s">
        <v>55</v>
      </c>
      <c r="G151" s="7" t="s">
        <v>5</v>
      </c>
      <c r="H151" s="7" t="s">
        <v>52</v>
      </c>
      <c r="I151" s="7" t="s">
        <v>52</v>
      </c>
      <c r="J151" s="7" t="s">
        <v>51</v>
      </c>
      <c r="K151" s="7" t="s">
        <v>51</v>
      </c>
      <c r="L151" s="7"/>
      <c r="M151" s="5" t="s">
        <v>94</v>
      </c>
      <c r="N151" s="5" t="s">
        <v>94</v>
      </c>
      <c r="O151" s="7" t="s">
        <v>54</v>
      </c>
    </row>
    <row r="152" spans="1:15" x14ac:dyDescent="0.35">
      <c r="A152" s="5" t="s">
        <v>832</v>
      </c>
      <c r="B152" s="6" t="s">
        <v>492</v>
      </c>
      <c r="C152" s="6" t="s">
        <v>128</v>
      </c>
      <c r="D152" s="7" t="s">
        <v>48</v>
      </c>
      <c r="E152" s="7" t="s">
        <v>49</v>
      </c>
      <c r="F152" s="7" t="s">
        <v>50</v>
      </c>
      <c r="G152" s="7" t="s">
        <v>5</v>
      </c>
      <c r="H152" s="7" t="s">
        <v>52</v>
      </c>
      <c r="I152" s="7" t="s">
        <v>52</v>
      </c>
      <c r="J152" s="7" t="s">
        <v>51</v>
      </c>
      <c r="K152" s="7"/>
      <c r="L152" s="7"/>
      <c r="M152" s="5" t="s">
        <v>59</v>
      </c>
      <c r="N152" s="5" t="s">
        <v>59</v>
      </c>
      <c r="O152" s="7" t="s">
        <v>54</v>
      </c>
    </row>
    <row r="153" spans="1:15" x14ac:dyDescent="0.35">
      <c r="A153" s="5" t="s">
        <v>909</v>
      </c>
      <c r="B153" s="7" t="s">
        <v>550</v>
      </c>
      <c r="C153" s="7" t="s">
        <v>186</v>
      </c>
      <c r="D153" s="6" t="s">
        <v>48</v>
      </c>
      <c r="E153" s="6" t="s">
        <v>49</v>
      </c>
      <c r="F153" s="6" t="s">
        <v>55</v>
      </c>
      <c r="G153" s="6" t="s">
        <v>4</v>
      </c>
      <c r="H153" s="6" t="s">
        <v>52</v>
      </c>
      <c r="I153" s="6" t="s">
        <v>52</v>
      </c>
      <c r="J153" s="6"/>
      <c r="K153" s="6"/>
      <c r="L153" s="6"/>
      <c r="M153" s="5" t="s">
        <v>72</v>
      </c>
      <c r="N153" s="5" t="s">
        <v>72</v>
      </c>
      <c r="O153" s="6" t="s">
        <v>54</v>
      </c>
    </row>
    <row r="154" spans="1:15" x14ac:dyDescent="0.35">
      <c r="A154" s="5" t="s">
        <v>841</v>
      </c>
      <c r="B154" s="6" t="s">
        <v>695</v>
      </c>
      <c r="C154" s="6" t="s">
        <v>331</v>
      </c>
      <c r="D154" s="7" t="s">
        <v>48</v>
      </c>
      <c r="E154" s="7" t="s">
        <v>49</v>
      </c>
      <c r="F154" s="7" t="s">
        <v>50</v>
      </c>
      <c r="G154" s="7" t="s">
        <v>5</v>
      </c>
      <c r="H154" s="7" t="s">
        <v>52</v>
      </c>
      <c r="I154" s="7" t="s">
        <v>52</v>
      </c>
      <c r="J154" s="7"/>
      <c r="K154" s="7"/>
      <c r="L154" s="7"/>
      <c r="M154" s="5" t="s">
        <v>57</v>
      </c>
      <c r="N154" s="5" t="s">
        <v>57</v>
      </c>
      <c r="O154" s="7" t="s">
        <v>54</v>
      </c>
    </row>
    <row r="155" spans="1:15" x14ac:dyDescent="0.35">
      <c r="A155" s="5" t="s">
        <v>833</v>
      </c>
      <c r="B155" s="6" t="s">
        <v>578</v>
      </c>
      <c r="C155" s="6" t="s">
        <v>214</v>
      </c>
      <c r="D155" s="6" t="s">
        <v>48</v>
      </c>
      <c r="E155" s="6" t="s">
        <v>49</v>
      </c>
      <c r="F155" s="6" t="s">
        <v>55</v>
      </c>
      <c r="G155" s="6" t="s">
        <v>9</v>
      </c>
      <c r="H155" s="6" t="s">
        <v>51</v>
      </c>
      <c r="I155" s="6" t="s">
        <v>52</v>
      </c>
      <c r="J155" s="6" t="s">
        <v>51</v>
      </c>
      <c r="K155" s="6" t="s">
        <v>51</v>
      </c>
      <c r="L155" s="6"/>
      <c r="M155" s="5" t="s">
        <v>59</v>
      </c>
      <c r="N155" s="5" t="s">
        <v>59</v>
      </c>
      <c r="O155" s="6" t="s">
        <v>54</v>
      </c>
    </row>
    <row r="156" spans="1:15" x14ac:dyDescent="0.35">
      <c r="A156" s="5" t="s">
        <v>874</v>
      </c>
      <c r="B156" s="7" t="s">
        <v>529</v>
      </c>
      <c r="C156" s="7" t="s">
        <v>165</v>
      </c>
      <c r="D156" s="7" t="s">
        <v>48</v>
      </c>
      <c r="E156" s="7" t="s">
        <v>49</v>
      </c>
      <c r="F156" s="7" t="s">
        <v>55</v>
      </c>
      <c r="G156" s="7" t="s">
        <v>20</v>
      </c>
      <c r="H156" s="7" t="s">
        <v>52</v>
      </c>
      <c r="I156" s="7" t="s">
        <v>65</v>
      </c>
      <c r="J156" s="7"/>
      <c r="K156" s="7"/>
      <c r="L156" s="7"/>
      <c r="M156" s="5" t="s">
        <v>66</v>
      </c>
      <c r="N156" s="5" t="s">
        <v>66</v>
      </c>
      <c r="O156" s="7" t="s">
        <v>54</v>
      </c>
    </row>
    <row r="157" spans="1:15" x14ac:dyDescent="0.35">
      <c r="A157" s="5" t="s">
        <v>845</v>
      </c>
      <c r="B157" s="7" t="s">
        <v>712</v>
      </c>
      <c r="C157" s="7" t="s">
        <v>348</v>
      </c>
      <c r="D157" s="7" t="s">
        <v>48</v>
      </c>
      <c r="E157" s="7" t="s">
        <v>49</v>
      </c>
      <c r="F157" s="7" t="s">
        <v>55</v>
      </c>
      <c r="G157" s="7" t="s">
        <v>26</v>
      </c>
      <c r="H157" s="7" t="s">
        <v>52</v>
      </c>
      <c r="I157" s="7" t="s">
        <v>52</v>
      </c>
      <c r="J157" s="7"/>
      <c r="K157" s="7"/>
      <c r="L157" s="7"/>
      <c r="M157" s="5" t="s">
        <v>57</v>
      </c>
      <c r="N157" s="5" t="s">
        <v>57</v>
      </c>
      <c r="O157" s="7" t="s">
        <v>54</v>
      </c>
    </row>
    <row r="158" spans="1:15" x14ac:dyDescent="0.35">
      <c r="A158" s="5" t="s">
        <v>876</v>
      </c>
      <c r="B158" s="6" t="s">
        <v>494</v>
      </c>
      <c r="C158" s="6" t="s">
        <v>130</v>
      </c>
      <c r="D158" s="7" t="s">
        <v>48</v>
      </c>
      <c r="E158" s="7" t="s">
        <v>49</v>
      </c>
      <c r="F158" s="7" t="s">
        <v>55</v>
      </c>
      <c r="G158" s="7" t="s">
        <v>9</v>
      </c>
      <c r="H158" s="7" t="s">
        <v>52</v>
      </c>
      <c r="I158" s="7" t="s">
        <v>52</v>
      </c>
      <c r="J158" s="7" t="s">
        <v>51</v>
      </c>
      <c r="K158" s="7"/>
      <c r="L158" s="7"/>
      <c r="M158" s="5" t="s">
        <v>63</v>
      </c>
      <c r="N158" s="5" t="s">
        <v>63</v>
      </c>
      <c r="O158" s="7" t="s">
        <v>54</v>
      </c>
    </row>
    <row r="159" spans="1:15" x14ac:dyDescent="0.35">
      <c r="A159" s="5" t="s">
        <v>839</v>
      </c>
      <c r="B159" s="6" t="s">
        <v>602</v>
      </c>
      <c r="C159" s="6" t="s">
        <v>238</v>
      </c>
      <c r="D159" s="7" t="s">
        <v>48</v>
      </c>
      <c r="E159" s="7" t="s">
        <v>49</v>
      </c>
      <c r="F159" s="7" t="s">
        <v>55</v>
      </c>
      <c r="G159" s="7" t="s">
        <v>13</v>
      </c>
      <c r="H159" s="7" t="s">
        <v>52</v>
      </c>
      <c r="I159" s="7" t="s">
        <v>52</v>
      </c>
      <c r="J159" s="7"/>
      <c r="K159" s="7"/>
      <c r="L159" s="7"/>
      <c r="M159" s="5" t="s">
        <v>59</v>
      </c>
      <c r="N159" s="5" t="s">
        <v>59</v>
      </c>
      <c r="O159" s="7" t="s">
        <v>54</v>
      </c>
    </row>
    <row r="160" spans="1:15" x14ac:dyDescent="0.35">
      <c r="A160" s="5" t="s">
        <v>873</v>
      </c>
      <c r="B160" s="7" t="s">
        <v>799</v>
      </c>
      <c r="C160" s="7" t="s">
        <v>435</v>
      </c>
      <c r="D160" s="7" t="s">
        <v>48</v>
      </c>
      <c r="E160" s="7" t="s">
        <v>49</v>
      </c>
      <c r="F160" s="7" t="s">
        <v>50</v>
      </c>
      <c r="G160" s="7" t="s">
        <v>9</v>
      </c>
      <c r="H160" s="7" t="s">
        <v>52</v>
      </c>
      <c r="I160" s="7" t="s">
        <v>52</v>
      </c>
      <c r="J160" s="7"/>
      <c r="K160" s="7"/>
      <c r="L160" s="7"/>
      <c r="M160" s="5" t="s">
        <v>57</v>
      </c>
      <c r="N160" s="5" t="s">
        <v>57</v>
      </c>
      <c r="O160" s="7" t="s">
        <v>54</v>
      </c>
    </row>
    <row r="161" spans="1:15" x14ac:dyDescent="0.35">
      <c r="A161" s="5" t="s">
        <v>864</v>
      </c>
      <c r="B161" s="6" t="s">
        <v>525</v>
      </c>
      <c r="C161" s="6" t="s">
        <v>161</v>
      </c>
      <c r="D161" s="7" t="s">
        <v>48</v>
      </c>
      <c r="E161" s="7" t="s">
        <v>49</v>
      </c>
      <c r="F161" s="7" t="s">
        <v>50</v>
      </c>
      <c r="G161" s="7" t="s">
        <v>22</v>
      </c>
      <c r="H161" s="7" t="s">
        <v>52</v>
      </c>
      <c r="I161" s="7" t="s">
        <v>52</v>
      </c>
      <c r="J161" s="7" t="s">
        <v>51</v>
      </c>
      <c r="K161" s="7"/>
      <c r="L161" s="7"/>
      <c r="M161" s="5" t="s">
        <v>57</v>
      </c>
      <c r="N161" s="5" t="s">
        <v>57</v>
      </c>
      <c r="O161" s="7" t="s">
        <v>54</v>
      </c>
    </row>
    <row r="162" spans="1:15" x14ac:dyDescent="0.35">
      <c r="A162" s="5" t="s">
        <v>901</v>
      </c>
      <c r="B162" s="6" t="s">
        <v>558</v>
      </c>
      <c r="C162" s="6" t="s">
        <v>194</v>
      </c>
      <c r="D162" s="6" t="s">
        <v>48</v>
      </c>
      <c r="E162" s="6" t="s">
        <v>49</v>
      </c>
      <c r="F162" s="6" t="s">
        <v>50</v>
      </c>
      <c r="G162" s="6" t="s">
        <v>26</v>
      </c>
      <c r="H162" s="6" t="s">
        <v>52</v>
      </c>
      <c r="I162" s="6" t="s">
        <v>60</v>
      </c>
      <c r="J162" s="6" t="s">
        <v>51</v>
      </c>
      <c r="K162" s="6" t="s">
        <v>51</v>
      </c>
      <c r="L162" s="6"/>
      <c r="M162" s="5" t="s">
        <v>61</v>
      </c>
      <c r="N162" s="5" t="s">
        <v>61</v>
      </c>
      <c r="O162" s="6" t="s">
        <v>54</v>
      </c>
    </row>
    <row r="163" spans="1:15" x14ac:dyDescent="0.35">
      <c r="A163" s="5" t="s">
        <v>896</v>
      </c>
      <c r="B163" s="6" t="s">
        <v>788</v>
      </c>
      <c r="C163" s="6" t="s">
        <v>424</v>
      </c>
      <c r="D163" s="6" t="s">
        <v>48</v>
      </c>
      <c r="E163" s="6" t="s">
        <v>49</v>
      </c>
      <c r="F163" s="6" t="s">
        <v>55</v>
      </c>
      <c r="G163" s="6" t="s">
        <v>5</v>
      </c>
      <c r="H163" s="6" t="s">
        <v>51</v>
      </c>
      <c r="I163" s="6" t="s">
        <v>52</v>
      </c>
      <c r="J163" s="6"/>
      <c r="K163" s="6"/>
      <c r="L163" s="6"/>
      <c r="M163" s="5" t="s">
        <v>69</v>
      </c>
      <c r="N163" s="5" t="s">
        <v>69</v>
      </c>
      <c r="O163" s="6" t="s">
        <v>54</v>
      </c>
    </row>
    <row r="164" spans="1:15" x14ac:dyDescent="0.35">
      <c r="A164" s="5" t="s">
        <v>844</v>
      </c>
      <c r="B164" s="6" t="s">
        <v>543</v>
      </c>
      <c r="C164" s="6" t="s">
        <v>179</v>
      </c>
      <c r="D164" s="7" t="s">
        <v>48</v>
      </c>
      <c r="E164" s="7" t="s">
        <v>49</v>
      </c>
      <c r="F164" s="7" t="s">
        <v>50</v>
      </c>
      <c r="G164" s="7" t="s">
        <v>5</v>
      </c>
      <c r="H164" s="7" t="s">
        <v>52</v>
      </c>
      <c r="I164" s="7" t="s">
        <v>52</v>
      </c>
      <c r="J164" s="7" t="s">
        <v>51</v>
      </c>
      <c r="K164" s="7"/>
      <c r="L164" s="7"/>
      <c r="M164" s="5" t="s">
        <v>63</v>
      </c>
      <c r="N164" s="5" t="s">
        <v>63</v>
      </c>
      <c r="O164" s="7" t="s">
        <v>54</v>
      </c>
    </row>
    <row r="165" spans="1:15" x14ac:dyDescent="0.35">
      <c r="A165" s="5" t="s">
        <v>910</v>
      </c>
      <c r="B165" s="7" t="s">
        <v>628</v>
      </c>
      <c r="C165" s="7" t="s">
        <v>264</v>
      </c>
      <c r="D165" s="6" t="s">
        <v>48</v>
      </c>
      <c r="E165" s="6" t="s">
        <v>49</v>
      </c>
      <c r="F165" s="6" t="s">
        <v>55</v>
      </c>
      <c r="G165" s="6" t="s">
        <v>26</v>
      </c>
      <c r="H165" s="6" t="s">
        <v>52</v>
      </c>
      <c r="I165" s="6" t="s">
        <v>52</v>
      </c>
      <c r="J165" s="6" t="s">
        <v>51</v>
      </c>
      <c r="K165" s="6"/>
      <c r="L165" s="6"/>
      <c r="M165" s="5" t="s">
        <v>87</v>
      </c>
      <c r="N165" s="5" t="s">
        <v>87</v>
      </c>
      <c r="O165" s="6" t="s">
        <v>54</v>
      </c>
    </row>
    <row r="166" spans="1:15" x14ac:dyDescent="0.35">
      <c r="A166" s="5" t="s">
        <v>859</v>
      </c>
      <c r="B166" s="7" t="s">
        <v>817</v>
      </c>
      <c r="C166" s="7" t="s">
        <v>453</v>
      </c>
      <c r="D166" s="7" t="s">
        <v>48</v>
      </c>
      <c r="E166" s="7" t="s">
        <v>49</v>
      </c>
      <c r="F166" s="7" t="s">
        <v>50</v>
      </c>
      <c r="G166" s="7" t="s">
        <v>13</v>
      </c>
      <c r="H166" s="7" t="s">
        <v>52</v>
      </c>
      <c r="I166" s="7" t="s">
        <v>60</v>
      </c>
      <c r="J166" s="7" t="s">
        <v>51</v>
      </c>
      <c r="K166" s="7"/>
      <c r="L166" s="7"/>
      <c r="M166" s="5" t="s">
        <v>59</v>
      </c>
      <c r="N166" s="5" t="s">
        <v>59</v>
      </c>
      <c r="O166" s="7" t="s">
        <v>54</v>
      </c>
    </row>
    <row r="167" spans="1:15" x14ac:dyDescent="0.35">
      <c r="A167" s="5" t="s">
        <v>911</v>
      </c>
      <c r="B167" s="6" t="s">
        <v>629</v>
      </c>
      <c r="C167" s="6" t="s">
        <v>265</v>
      </c>
      <c r="D167" s="7" t="s">
        <v>48</v>
      </c>
      <c r="E167" s="7" t="s">
        <v>49</v>
      </c>
      <c r="F167" s="7" t="s">
        <v>55</v>
      </c>
      <c r="G167" s="7" t="s">
        <v>29</v>
      </c>
      <c r="H167" s="7" t="s">
        <v>51</v>
      </c>
      <c r="I167" s="7" t="s">
        <v>52</v>
      </c>
      <c r="J167" s="7" t="s">
        <v>51</v>
      </c>
      <c r="K167" s="7" t="s">
        <v>51</v>
      </c>
      <c r="L167" s="7"/>
      <c r="M167" s="5" t="s">
        <v>88</v>
      </c>
      <c r="N167" s="5" t="s">
        <v>88</v>
      </c>
      <c r="O167" s="7" t="s">
        <v>54</v>
      </c>
    </row>
    <row r="168" spans="1:15" x14ac:dyDescent="0.35">
      <c r="A168" s="5" t="s">
        <v>912</v>
      </c>
      <c r="B168" s="7" t="s">
        <v>826</v>
      </c>
      <c r="C168" s="7" t="s">
        <v>462</v>
      </c>
      <c r="D168" s="6" t="s">
        <v>48</v>
      </c>
      <c r="E168" s="6" t="s">
        <v>49</v>
      </c>
      <c r="F168" s="6" t="s">
        <v>50</v>
      </c>
      <c r="G168" s="6" t="s">
        <v>26</v>
      </c>
      <c r="H168" s="6" t="s">
        <v>51</v>
      </c>
      <c r="I168" s="6" t="s">
        <v>52</v>
      </c>
      <c r="J168" s="6" t="s">
        <v>51</v>
      </c>
      <c r="K168" s="6" t="s">
        <v>51</v>
      </c>
      <c r="L168" s="6"/>
      <c r="M168" s="5" t="s">
        <v>99</v>
      </c>
      <c r="N168" s="5" t="s">
        <v>99</v>
      </c>
      <c r="O168" s="6" t="s">
        <v>54</v>
      </c>
    </row>
    <row r="169" spans="1:15" x14ac:dyDescent="0.35">
      <c r="A169" s="5" t="s">
        <v>830</v>
      </c>
      <c r="B169" s="7" t="s">
        <v>502</v>
      </c>
      <c r="C169" s="7" t="s">
        <v>138</v>
      </c>
      <c r="D169" s="7" t="s">
        <v>48</v>
      </c>
      <c r="E169" s="7" t="s">
        <v>49</v>
      </c>
      <c r="F169" s="7" t="s">
        <v>55</v>
      </c>
      <c r="G169" s="7" t="s">
        <v>5</v>
      </c>
      <c r="H169" s="7" t="s">
        <v>52</v>
      </c>
      <c r="I169" s="7" t="s">
        <v>65</v>
      </c>
      <c r="J169" s="7"/>
      <c r="K169" s="7"/>
      <c r="L169" s="7"/>
      <c r="M169" s="5" t="s">
        <v>56</v>
      </c>
      <c r="N169" s="5" t="s">
        <v>56</v>
      </c>
      <c r="O169" s="7" t="s">
        <v>54</v>
      </c>
    </row>
    <row r="170" spans="1:15" x14ac:dyDescent="0.35">
      <c r="A170" s="5" t="s">
        <v>879</v>
      </c>
      <c r="B170" s="6" t="s">
        <v>591</v>
      </c>
      <c r="C170" s="6" t="s">
        <v>227</v>
      </c>
      <c r="D170" s="6" t="s">
        <v>48</v>
      </c>
      <c r="E170" s="6" t="s">
        <v>49</v>
      </c>
      <c r="F170" s="6" t="s">
        <v>50</v>
      </c>
      <c r="G170" s="6" t="s">
        <v>29</v>
      </c>
      <c r="H170" s="6" t="s">
        <v>52</v>
      </c>
      <c r="I170" s="6" t="s">
        <v>60</v>
      </c>
      <c r="J170" s="6"/>
      <c r="K170" s="6"/>
      <c r="L170" s="6"/>
      <c r="M170" s="5" t="s">
        <v>61</v>
      </c>
      <c r="N170" s="5" t="s">
        <v>61</v>
      </c>
      <c r="O170" s="6" t="s">
        <v>54</v>
      </c>
    </row>
    <row r="171" spans="1:15" x14ac:dyDescent="0.35">
      <c r="A171" s="5" t="s">
        <v>851</v>
      </c>
      <c r="B171" s="6" t="s">
        <v>666</v>
      </c>
      <c r="C171" s="6" t="s">
        <v>302</v>
      </c>
      <c r="D171" s="7" t="s">
        <v>48</v>
      </c>
      <c r="E171" s="7" t="s">
        <v>49</v>
      </c>
      <c r="F171" s="7" t="s">
        <v>55</v>
      </c>
      <c r="G171" s="7" t="s">
        <v>20</v>
      </c>
      <c r="H171" s="7" t="s">
        <v>52</v>
      </c>
      <c r="I171" s="7" t="s">
        <v>60</v>
      </c>
      <c r="J171" s="7" t="s">
        <v>51</v>
      </c>
      <c r="K171" s="7"/>
      <c r="L171" s="7"/>
      <c r="M171" s="5" t="s">
        <v>67</v>
      </c>
      <c r="N171" s="5" t="s">
        <v>67</v>
      </c>
      <c r="O171" s="7" t="s">
        <v>54</v>
      </c>
    </row>
    <row r="172" spans="1:15" x14ac:dyDescent="0.35">
      <c r="A172" s="5" t="s">
        <v>849</v>
      </c>
      <c r="B172" s="6" t="s">
        <v>665</v>
      </c>
      <c r="C172" s="6" t="s">
        <v>301</v>
      </c>
      <c r="D172" s="6" t="s">
        <v>48</v>
      </c>
      <c r="E172" s="6" t="s">
        <v>49</v>
      </c>
      <c r="F172" s="6" t="s">
        <v>55</v>
      </c>
      <c r="G172" s="6" t="s">
        <v>26</v>
      </c>
      <c r="H172" s="6" t="s">
        <v>52</v>
      </c>
      <c r="I172" s="6" t="s">
        <v>52</v>
      </c>
      <c r="J172" s="6"/>
      <c r="K172" s="6"/>
      <c r="L172" s="6"/>
      <c r="M172" s="5" t="s">
        <v>59</v>
      </c>
      <c r="N172" s="5" t="s">
        <v>59</v>
      </c>
      <c r="O172" s="6" t="s">
        <v>54</v>
      </c>
    </row>
    <row r="173" spans="1:15" x14ac:dyDescent="0.35">
      <c r="A173" s="5" t="s">
        <v>833</v>
      </c>
      <c r="B173" s="7" t="s">
        <v>751</v>
      </c>
      <c r="C173" s="7" t="s">
        <v>387</v>
      </c>
      <c r="D173" s="6" t="s">
        <v>48</v>
      </c>
      <c r="E173" s="6" t="s">
        <v>49</v>
      </c>
      <c r="F173" s="6" t="s">
        <v>55</v>
      </c>
      <c r="G173" s="6" t="s">
        <v>2</v>
      </c>
      <c r="H173" s="6" t="s">
        <v>51</v>
      </c>
      <c r="I173" s="6" t="s">
        <v>52</v>
      </c>
      <c r="J173" s="6" t="s">
        <v>51</v>
      </c>
      <c r="K173" s="6" t="s">
        <v>51</v>
      </c>
      <c r="L173" s="6"/>
      <c r="M173" s="5" t="s">
        <v>59</v>
      </c>
      <c r="N173" s="5" t="s">
        <v>59</v>
      </c>
      <c r="O173" s="6" t="s">
        <v>54</v>
      </c>
    </row>
    <row r="174" spans="1:15" x14ac:dyDescent="0.35">
      <c r="A174" s="5" t="s">
        <v>847</v>
      </c>
      <c r="B174" s="6" t="s">
        <v>800</v>
      </c>
      <c r="C174" s="6" t="s">
        <v>436</v>
      </c>
      <c r="D174" s="6" t="s">
        <v>48</v>
      </c>
      <c r="E174" s="6" t="s">
        <v>49</v>
      </c>
      <c r="F174" s="6" t="s">
        <v>55</v>
      </c>
      <c r="G174" s="6" t="s">
        <v>9</v>
      </c>
      <c r="H174" s="6" t="s">
        <v>52</v>
      </c>
      <c r="I174" s="6" t="s">
        <v>81</v>
      </c>
      <c r="J174" s="6"/>
      <c r="K174" s="6"/>
      <c r="L174" s="6"/>
      <c r="M174" s="5" t="s">
        <v>67</v>
      </c>
      <c r="N174" s="5" t="s">
        <v>67</v>
      </c>
      <c r="O174" s="6" t="s">
        <v>54</v>
      </c>
    </row>
    <row r="175" spans="1:15" x14ac:dyDescent="0.35">
      <c r="A175" s="5" t="s">
        <v>849</v>
      </c>
      <c r="B175" s="6" t="s">
        <v>755</v>
      </c>
      <c r="C175" s="6" t="s">
        <v>391</v>
      </c>
      <c r="D175" s="6" t="s">
        <v>48</v>
      </c>
      <c r="E175" s="6" t="s">
        <v>49</v>
      </c>
      <c r="F175" s="6" t="s">
        <v>55</v>
      </c>
      <c r="G175" s="6" t="s">
        <v>5</v>
      </c>
      <c r="H175" s="6" t="s">
        <v>52</v>
      </c>
      <c r="I175" s="6" t="s">
        <v>52</v>
      </c>
      <c r="J175" s="6"/>
      <c r="K175" s="6"/>
      <c r="L175" s="6"/>
      <c r="M175" s="5" t="s">
        <v>59</v>
      </c>
      <c r="N175" s="5" t="s">
        <v>59</v>
      </c>
      <c r="O175" s="6" t="s">
        <v>54</v>
      </c>
    </row>
    <row r="176" spans="1:15" x14ac:dyDescent="0.35">
      <c r="A176" s="5" t="s">
        <v>846</v>
      </c>
      <c r="B176" s="6" t="s">
        <v>573</v>
      </c>
      <c r="C176" s="6" t="s">
        <v>209</v>
      </c>
      <c r="D176" s="7" t="s">
        <v>48</v>
      </c>
      <c r="E176" s="7" t="s">
        <v>49</v>
      </c>
      <c r="F176" s="7" t="s">
        <v>50</v>
      </c>
      <c r="G176" s="7" t="s">
        <v>0</v>
      </c>
      <c r="H176" s="7" t="s">
        <v>52</v>
      </c>
      <c r="I176" s="7" t="s">
        <v>52</v>
      </c>
      <c r="J176" s="7"/>
      <c r="K176" s="7"/>
      <c r="L176" s="7"/>
      <c r="M176" s="5" t="s">
        <v>57</v>
      </c>
      <c r="N176" s="5" t="s">
        <v>57</v>
      </c>
      <c r="O176" s="7" t="s">
        <v>54</v>
      </c>
    </row>
    <row r="177" spans="1:15" x14ac:dyDescent="0.35">
      <c r="A177" s="5" t="s">
        <v>893</v>
      </c>
      <c r="B177" s="6" t="s">
        <v>657</v>
      </c>
      <c r="C177" s="6" t="s">
        <v>293</v>
      </c>
      <c r="D177" s="6" t="s">
        <v>48</v>
      </c>
      <c r="E177" s="6" t="s">
        <v>49</v>
      </c>
      <c r="F177" s="6" t="s">
        <v>55</v>
      </c>
      <c r="G177" s="6" t="s">
        <v>9</v>
      </c>
      <c r="H177" s="6" t="s">
        <v>52</v>
      </c>
      <c r="I177" s="6" t="s">
        <v>52</v>
      </c>
      <c r="J177" s="6"/>
      <c r="K177" s="6"/>
      <c r="L177" s="6"/>
      <c r="M177" s="5" t="s">
        <v>67</v>
      </c>
      <c r="N177" s="5" t="s">
        <v>67</v>
      </c>
      <c r="O177" s="6" t="s">
        <v>54</v>
      </c>
    </row>
    <row r="178" spans="1:15" x14ac:dyDescent="0.35">
      <c r="A178" s="5" t="s">
        <v>834</v>
      </c>
      <c r="B178" s="7" t="s">
        <v>664</v>
      </c>
      <c r="C178" s="7" t="s">
        <v>300</v>
      </c>
      <c r="D178" s="7" t="s">
        <v>48</v>
      </c>
      <c r="E178" s="7" t="s">
        <v>49</v>
      </c>
      <c r="F178" s="7" t="s">
        <v>55</v>
      </c>
      <c r="G178" s="7" t="s">
        <v>19</v>
      </c>
      <c r="H178" s="7" t="s">
        <v>52</v>
      </c>
      <c r="I178" s="7" t="s">
        <v>60</v>
      </c>
      <c r="J178" s="7"/>
      <c r="K178" s="7"/>
      <c r="L178" s="7"/>
      <c r="M178" s="5" t="s">
        <v>56</v>
      </c>
      <c r="N178" s="5" t="s">
        <v>56</v>
      </c>
      <c r="O178" s="7" t="s">
        <v>54</v>
      </c>
    </row>
    <row r="179" spans="1:15" x14ac:dyDescent="0.35">
      <c r="A179" s="5" t="s">
        <v>870</v>
      </c>
      <c r="B179" s="6" t="s">
        <v>635</v>
      </c>
      <c r="C179" s="6" t="s">
        <v>271</v>
      </c>
      <c r="D179" s="7" t="s">
        <v>48</v>
      </c>
      <c r="E179" s="7" t="s">
        <v>49</v>
      </c>
      <c r="F179" s="7" t="s">
        <v>50</v>
      </c>
      <c r="G179" s="7" t="s">
        <v>9</v>
      </c>
      <c r="H179" s="7" t="s">
        <v>52</v>
      </c>
      <c r="I179" s="7" t="s">
        <v>52</v>
      </c>
      <c r="J179" s="7"/>
      <c r="K179" s="7"/>
      <c r="L179" s="7"/>
      <c r="M179" s="5" t="s">
        <v>67</v>
      </c>
      <c r="N179" s="5" t="s">
        <v>67</v>
      </c>
      <c r="O179" s="7" t="s">
        <v>54</v>
      </c>
    </row>
    <row r="180" spans="1:15" x14ac:dyDescent="0.35">
      <c r="A180" s="5" t="s">
        <v>913</v>
      </c>
      <c r="B180" s="6" t="s">
        <v>780</v>
      </c>
      <c r="C180" s="6" t="s">
        <v>416</v>
      </c>
      <c r="D180" s="7" t="s">
        <v>48</v>
      </c>
      <c r="E180" s="7" t="s">
        <v>49</v>
      </c>
      <c r="F180" s="7" t="s">
        <v>50</v>
      </c>
      <c r="G180" s="7" t="s">
        <v>13</v>
      </c>
      <c r="H180" s="7" t="s">
        <v>52</v>
      </c>
      <c r="I180" s="7" t="s">
        <v>60</v>
      </c>
      <c r="J180" s="7" t="s">
        <v>51</v>
      </c>
      <c r="K180" s="7" t="s">
        <v>51</v>
      </c>
      <c r="L180" s="7"/>
      <c r="M180" s="5" t="s">
        <v>75</v>
      </c>
      <c r="N180" s="5" t="s">
        <v>75</v>
      </c>
      <c r="O180" s="7" t="s">
        <v>54</v>
      </c>
    </row>
    <row r="181" spans="1:15" x14ac:dyDescent="0.35">
      <c r="A181" s="5" t="s">
        <v>864</v>
      </c>
      <c r="B181" s="6" t="s">
        <v>710</v>
      </c>
      <c r="C181" s="6" t="s">
        <v>346</v>
      </c>
      <c r="D181" s="7" t="s">
        <v>48</v>
      </c>
      <c r="E181" s="7" t="s">
        <v>49</v>
      </c>
      <c r="F181" s="7" t="s">
        <v>50</v>
      </c>
      <c r="G181" s="7" t="s">
        <v>5</v>
      </c>
      <c r="H181" s="7" t="s">
        <v>51</v>
      </c>
      <c r="I181" s="7" t="s">
        <v>52</v>
      </c>
      <c r="J181" s="7" t="s">
        <v>51</v>
      </c>
      <c r="K181" s="7"/>
      <c r="L181" s="7"/>
      <c r="M181" s="5" t="s">
        <v>57</v>
      </c>
      <c r="N181" s="5" t="s">
        <v>57</v>
      </c>
      <c r="O181" s="7" t="s">
        <v>54</v>
      </c>
    </row>
    <row r="182" spans="1:15" x14ac:dyDescent="0.35">
      <c r="A182" s="5" t="s">
        <v>843</v>
      </c>
      <c r="B182" s="6" t="s">
        <v>683</v>
      </c>
      <c r="C182" s="6" t="s">
        <v>319</v>
      </c>
      <c r="D182" s="6" t="s">
        <v>48</v>
      </c>
      <c r="E182" s="6" t="s">
        <v>49</v>
      </c>
      <c r="F182" s="6" t="s">
        <v>50</v>
      </c>
      <c r="G182" s="6" t="s">
        <v>7</v>
      </c>
      <c r="H182" s="6" t="s">
        <v>52</v>
      </c>
      <c r="I182" s="6" t="s">
        <v>52</v>
      </c>
      <c r="J182" s="6"/>
      <c r="K182" s="6"/>
      <c r="L182" s="6"/>
      <c r="M182" s="5" t="s">
        <v>67</v>
      </c>
      <c r="N182" s="5" t="s">
        <v>67</v>
      </c>
      <c r="O182" s="6" t="s">
        <v>54</v>
      </c>
    </row>
    <row r="183" spans="1:15" x14ac:dyDescent="0.35">
      <c r="A183" s="5" t="s">
        <v>914</v>
      </c>
      <c r="B183" s="7" t="s">
        <v>823</v>
      </c>
      <c r="C183" s="7" t="s">
        <v>459</v>
      </c>
      <c r="D183" s="7" t="s">
        <v>48</v>
      </c>
      <c r="E183" s="7" t="s">
        <v>49</v>
      </c>
      <c r="F183" s="7" t="s">
        <v>55</v>
      </c>
      <c r="G183" s="7" t="s">
        <v>25</v>
      </c>
      <c r="H183" s="7" t="s">
        <v>52</v>
      </c>
      <c r="I183" s="7" t="s">
        <v>52</v>
      </c>
      <c r="J183" s="7" t="s">
        <v>51</v>
      </c>
      <c r="K183" s="7" t="s">
        <v>51</v>
      </c>
      <c r="L183" s="7"/>
      <c r="M183" s="5" t="s">
        <v>98</v>
      </c>
      <c r="N183" s="5" t="s">
        <v>98</v>
      </c>
      <c r="O183" s="7" t="s">
        <v>54</v>
      </c>
    </row>
    <row r="184" spans="1:15" x14ac:dyDescent="0.35">
      <c r="A184" s="5" t="s">
        <v>915</v>
      </c>
      <c r="B184" s="6" t="s">
        <v>690</v>
      </c>
      <c r="C184" s="6" t="s">
        <v>326</v>
      </c>
      <c r="D184" s="6" t="s">
        <v>48</v>
      </c>
      <c r="E184" s="6" t="s">
        <v>49</v>
      </c>
      <c r="F184" s="6" t="s">
        <v>55</v>
      </c>
      <c r="G184" s="6" t="s">
        <v>26</v>
      </c>
      <c r="H184" s="6" t="s">
        <v>52</v>
      </c>
      <c r="I184" s="6" t="s">
        <v>52</v>
      </c>
      <c r="J184" s="6"/>
      <c r="K184" s="6"/>
      <c r="L184" s="6"/>
      <c r="M184" s="5" t="s">
        <v>74</v>
      </c>
      <c r="N184" s="5" t="s">
        <v>74</v>
      </c>
      <c r="O184" s="6" t="s">
        <v>54</v>
      </c>
    </row>
    <row r="185" spans="1:15" x14ac:dyDescent="0.35">
      <c r="A185" s="5" t="s">
        <v>847</v>
      </c>
      <c r="B185" s="6" t="s">
        <v>794</v>
      </c>
      <c r="C185" s="6" t="s">
        <v>430</v>
      </c>
      <c r="D185" s="6" t="s">
        <v>48</v>
      </c>
      <c r="E185" s="6" t="s">
        <v>49</v>
      </c>
      <c r="F185" s="6" t="s">
        <v>55</v>
      </c>
      <c r="G185" s="6" t="s">
        <v>21</v>
      </c>
      <c r="H185" s="6" t="s">
        <v>52</v>
      </c>
      <c r="I185" s="6" t="s">
        <v>52</v>
      </c>
      <c r="J185" s="6" t="s">
        <v>51</v>
      </c>
      <c r="K185" s="6" t="s">
        <v>58</v>
      </c>
      <c r="L185" s="6"/>
      <c r="M185" s="5" t="s">
        <v>67</v>
      </c>
      <c r="N185" s="5" t="s">
        <v>67</v>
      </c>
      <c r="O185" s="6" t="s">
        <v>54</v>
      </c>
    </row>
    <row r="186" spans="1:15" x14ac:dyDescent="0.35">
      <c r="A186" s="5" t="s">
        <v>836</v>
      </c>
      <c r="B186" s="7" t="s">
        <v>601</v>
      </c>
      <c r="C186" s="7" t="s">
        <v>237</v>
      </c>
      <c r="D186" s="6" t="s">
        <v>48</v>
      </c>
      <c r="E186" s="6" t="s">
        <v>49</v>
      </c>
      <c r="F186" s="6" t="s">
        <v>50</v>
      </c>
      <c r="G186" s="6" t="s">
        <v>9</v>
      </c>
      <c r="H186" s="6" t="s">
        <v>52</v>
      </c>
      <c r="I186" s="6" t="s">
        <v>60</v>
      </c>
      <c r="J186" s="6"/>
      <c r="K186" s="6"/>
      <c r="L186" s="6"/>
      <c r="M186" s="5" t="s">
        <v>63</v>
      </c>
      <c r="N186" s="5" t="s">
        <v>63</v>
      </c>
      <c r="O186" s="6" t="s">
        <v>54</v>
      </c>
    </row>
    <row r="187" spans="1:15" x14ac:dyDescent="0.35">
      <c r="A187" s="5" t="s">
        <v>850</v>
      </c>
      <c r="B187" s="6" t="s">
        <v>554</v>
      </c>
      <c r="C187" s="6" t="s">
        <v>190</v>
      </c>
      <c r="D187" s="6" t="s">
        <v>48</v>
      </c>
      <c r="E187" s="6" t="s">
        <v>49</v>
      </c>
      <c r="F187" s="6" t="s">
        <v>50</v>
      </c>
      <c r="G187" s="6" t="s">
        <v>9</v>
      </c>
      <c r="H187" s="6" t="s">
        <v>52</v>
      </c>
      <c r="I187" s="6" t="s">
        <v>52</v>
      </c>
      <c r="J187" s="6"/>
      <c r="K187" s="6"/>
      <c r="L187" s="6"/>
      <c r="M187" s="5" t="s">
        <v>57</v>
      </c>
      <c r="N187" s="5" t="s">
        <v>57</v>
      </c>
      <c r="O187" s="6" t="s">
        <v>54</v>
      </c>
    </row>
    <row r="188" spans="1:15" ht="17.25" customHeight="1" x14ac:dyDescent="0.35">
      <c r="A188" s="5" t="s">
        <v>916</v>
      </c>
      <c r="B188" s="6" t="s">
        <v>729</v>
      </c>
      <c r="C188" s="6" t="s">
        <v>365</v>
      </c>
      <c r="D188" s="6" t="s">
        <v>48</v>
      </c>
      <c r="E188" s="6" t="s">
        <v>49</v>
      </c>
      <c r="F188" s="6" t="s">
        <v>55</v>
      </c>
      <c r="G188" s="6" t="s">
        <v>29</v>
      </c>
      <c r="H188" s="6" t="s">
        <v>52</v>
      </c>
      <c r="I188" s="6" t="s">
        <v>60</v>
      </c>
      <c r="J188" s="6"/>
      <c r="K188" s="6"/>
      <c r="L188" s="6"/>
      <c r="M188" s="5" t="s">
        <v>56</v>
      </c>
      <c r="N188" s="5" t="s">
        <v>56</v>
      </c>
      <c r="O188" s="6" t="s">
        <v>54</v>
      </c>
    </row>
    <row r="189" spans="1:15" x14ac:dyDescent="0.35">
      <c r="A189" s="5" t="s">
        <v>864</v>
      </c>
      <c r="B189" s="7" t="s">
        <v>724</v>
      </c>
      <c r="C189" s="7" t="s">
        <v>360</v>
      </c>
      <c r="D189" s="7" t="s">
        <v>48</v>
      </c>
      <c r="E189" s="7" t="s">
        <v>49</v>
      </c>
      <c r="F189" s="7" t="s">
        <v>50</v>
      </c>
      <c r="G189" s="7" t="s">
        <v>13</v>
      </c>
      <c r="H189" s="7" t="s">
        <v>52</v>
      </c>
      <c r="I189" s="7" t="s">
        <v>52</v>
      </c>
      <c r="J189" s="7"/>
      <c r="K189" s="7"/>
      <c r="L189" s="7"/>
      <c r="M189" s="5" t="s">
        <v>57</v>
      </c>
      <c r="N189" s="5" t="s">
        <v>57</v>
      </c>
      <c r="O189" s="7" t="s">
        <v>54</v>
      </c>
    </row>
    <row r="190" spans="1:15" x14ac:dyDescent="0.35">
      <c r="A190" s="5" t="s">
        <v>879</v>
      </c>
      <c r="B190" s="6" t="s">
        <v>777</v>
      </c>
      <c r="C190" s="6" t="s">
        <v>413</v>
      </c>
      <c r="D190" s="6" t="s">
        <v>48</v>
      </c>
      <c r="E190" s="6" t="s">
        <v>49</v>
      </c>
      <c r="F190" s="6" t="s">
        <v>50</v>
      </c>
      <c r="G190" s="6" t="s">
        <v>5</v>
      </c>
      <c r="H190" s="6" t="s">
        <v>52</v>
      </c>
      <c r="I190" s="6" t="s">
        <v>60</v>
      </c>
      <c r="J190" s="6" t="s">
        <v>51</v>
      </c>
      <c r="K190" s="6"/>
      <c r="L190" s="6"/>
      <c r="M190" s="5" t="s">
        <v>61</v>
      </c>
      <c r="N190" s="5" t="s">
        <v>61</v>
      </c>
      <c r="O190" s="6" t="s">
        <v>54</v>
      </c>
    </row>
    <row r="191" spans="1:15" x14ac:dyDescent="0.35">
      <c r="A191" s="5" t="s">
        <v>848</v>
      </c>
      <c r="B191" s="6" t="s">
        <v>495</v>
      </c>
      <c r="C191" s="6" t="s">
        <v>131</v>
      </c>
      <c r="D191" s="6" t="s">
        <v>48</v>
      </c>
      <c r="E191" s="6" t="s">
        <v>49</v>
      </c>
      <c r="F191" s="6" t="s">
        <v>50</v>
      </c>
      <c r="G191" s="6" t="s">
        <v>5</v>
      </c>
      <c r="H191" s="6" t="s">
        <v>51</v>
      </c>
      <c r="I191" s="6" t="s">
        <v>52</v>
      </c>
      <c r="J191" s="6"/>
      <c r="K191" s="6"/>
      <c r="L191" s="6"/>
      <c r="M191" s="5" t="s">
        <v>56</v>
      </c>
      <c r="N191" s="5" t="s">
        <v>56</v>
      </c>
      <c r="O191" s="6" t="s">
        <v>54</v>
      </c>
    </row>
    <row r="192" spans="1:15" x14ac:dyDescent="0.35">
      <c r="A192" s="5" t="s">
        <v>877</v>
      </c>
      <c r="B192" s="7" t="s">
        <v>508</v>
      </c>
      <c r="C192" s="7" t="s">
        <v>144</v>
      </c>
      <c r="D192" s="7" t="s">
        <v>48</v>
      </c>
      <c r="E192" s="7" t="s">
        <v>49</v>
      </c>
      <c r="F192" s="7" t="s">
        <v>50</v>
      </c>
      <c r="G192" s="7" t="s">
        <v>21</v>
      </c>
      <c r="H192" s="7" t="s">
        <v>52</v>
      </c>
      <c r="I192" s="7" t="s">
        <v>52</v>
      </c>
      <c r="J192" s="7" t="s">
        <v>51</v>
      </c>
      <c r="K192" s="7" t="s">
        <v>51</v>
      </c>
      <c r="L192" s="7" t="s">
        <v>68</v>
      </c>
      <c r="M192" s="5" t="s">
        <v>63</v>
      </c>
      <c r="N192" s="5" t="s">
        <v>63</v>
      </c>
      <c r="O192" s="7" t="s">
        <v>54</v>
      </c>
    </row>
    <row r="193" spans="1:15" x14ac:dyDescent="0.35">
      <c r="A193" s="5" t="s">
        <v>844</v>
      </c>
      <c r="B193" s="6" t="s">
        <v>735</v>
      </c>
      <c r="C193" s="6" t="s">
        <v>371</v>
      </c>
      <c r="D193" s="6" t="s">
        <v>48</v>
      </c>
      <c r="E193" s="6" t="s">
        <v>49</v>
      </c>
      <c r="F193" s="6" t="s">
        <v>50</v>
      </c>
      <c r="G193" s="6" t="s">
        <v>20</v>
      </c>
      <c r="H193" s="6" t="s">
        <v>52</v>
      </c>
      <c r="I193" s="6" t="s">
        <v>52</v>
      </c>
      <c r="J193" s="6"/>
      <c r="K193" s="6"/>
      <c r="L193" s="6"/>
      <c r="M193" s="5" t="s">
        <v>63</v>
      </c>
      <c r="N193" s="5" t="s">
        <v>63</v>
      </c>
      <c r="O193" s="6" t="s">
        <v>54</v>
      </c>
    </row>
    <row r="194" spans="1:15" x14ac:dyDescent="0.35">
      <c r="A194" s="5" t="s">
        <v>861</v>
      </c>
      <c r="B194" s="6" t="s">
        <v>759</v>
      </c>
      <c r="C194" s="6" t="s">
        <v>395</v>
      </c>
      <c r="D194" s="6" t="s">
        <v>48</v>
      </c>
      <c r="E194" s="6" t="s">
        <v>49</v>
      </c>
      <c r="F194" s="6" t="s">
        <v>50</v>
      </c>
      <c r="G194" s="6" t="s">
        <v>0</v>
      </c>
      <c r="H194" s="6" t="s">
        <v>52</v>
      </c>
      <c r="I194" s="6" t="s">
        <v>52</v>
      </c>
      <c r="J194" s="6"/>
      <c r="K194" s="6"/>
      <c r="L194" s="6"/>
      <c r="M194" s="5" t="s">
        <v>59</v>
      </c>
      <c r="N194" s="5" t="s">
        <v>59</v>
      </c>
      <c r="O194" s="6" t="s">
        <v>54</v>
      </c>
    </row>
    <row r="195" spans="1:15" x14ac:dyDescent="0.35">
      <c r="A195" s="5" t="s">
        <v>839</v>
      </c>
      <c r="B195" s="6" t="s">
        <v>597</v>
      </c>
      <c r="C195" s="6" t="s">
        <v>233</v>
      </c>
      <c r="D195" s="6" t="s">
        <v>48</v>
      </c>
      <c r="E195" s="6" t="s">
        <v>49</v>
      </c>
      <c r="F195" s="6" t="s">
        <v>55</v>
      </c>
      <c r="G195" s="6" t="s">
        <v>29</v>
      </c>
      <c r="H195" s="6" t="s">
        <v>52</v>
      </c>
      <c r="I195" s="6" t="s">
        <v>52</v>
      </c>
      <c r="J195" s="6" t="s">
        <v>51</v>
      </c>
      <c r="K195" s="6"/>
      <c r="L195" s="6"/>
      <c r="M195" s="5" t="s">
        <v>59</v>
      </c>
      <c r="N195" s="5" t="s">
        <v>59</v>
      </c>
      <c r="O195" s="6" t="s">
        <v>54</v>
      </c>
    </row>
    <row r="196" spans="1:15" x14ac:dyDescent="0.35">
      <c r="A196" s="5" t="s">
        <v>829</v>
      </c>
      <c r="B196" s="7" t="s">
        <v>583</v>
      </c>
      <c r="C196" s="7" t="s">
        <v>219</v>
      </c>
      <c r="D196" s="6" t="s">
        <v>48</v>
      </c>
      <c r="E196" s="6" t="s">
        <v>49</v>
      </c>
      <c r="F196" s="6" t="s">
        <v>55</v>
      </c>
      <c r="G196" s="6" t="s">
        <v>5</v>
      </c>
      <c r="H196" s="6" t="s">
        <v>52</v>
      </c>
      <c r="I196" s="6" t="s">
        <v>52</v>
      </c>
      <c r="J196" s="6" t="s">
        <v>51</v>
      </c>
      <c r="K196" s="6"/>
      <c r="L196" s="6"/>
      <c r="M196" s="5" t="s">
        <v>56</v>
      </c>
      <c r="N196" s="5" t="s">
        <v>56</v>
      </c>
      <c r="O196" s="6" t="s">
        <v>54</v>
      </c>
    </row>
    <row r="197" spans="1:15" x14ac:dyDescent="0.35">
      <c r="A197" s="5" t="s">
        <v>896</v>
      </c>
      <c r="B197" s="6" t="s">
        <v>513</v>
      </c>
      <c r="C197" s="6" t="s">
        <v>149</v>
      </c>
      <c r="D197" s="6" t="s">
        <v>48</v>
      </c>
      <c r="E197" s="6" t="s">
        <v>49</v>
      </c>
      <c r="F197" s="6" t="s">
        <v>55</v>
      </c>
      <c r="G197" s="6" t="s">
        <v>9</v>
      </c>
      <c r="H197" s="6" t="s">
        <v>52</v>
      </c>
      <c r="I197" s="6" t="s">
        <v>52</v>
      </c>
      <c r="J197" s="6"/>
      <c r="K197" s="6"/>
      <c r="L197" s="6"/>
      <c r="M197" s="5" t="s">
        <v>69</v>
      </c>
      <c r="N197" s="5" t="s">
        <v>69</v>
      </c>
      <c r="O197" s="6" t="s">
        <v>54</v>
      </c>
    </row>
    <row r="198" spans="1:15" x14ac:dyDescent="0.35">
      <c r="A198" s="5" t="s">
        <v>833</v>
      </c>
      <c r="B198" s="6" t="s">
        <v>500</v>
      </c>
      <c r="C198" s="6" t="s">
        <v>136</v>
      </c>
      <c r="D198" s="7" t="s">
        <v>48</v>
      </c>
      <c r="E198" s="7" t="s">
        <v>49</v>
      </c>
      <c r="F198" s="7" t="s">
        <v>55</v>
      </c>
      <c r="G198" s="7" t="s">
        <v>5</v>
      </c>
      <c r="H198" s="7" t="s">
        <v>52</v>
      </c>
      <c r="I198" s="7" t="s">
        <v>52</v>
      </c>
      <c r="J198" s="7"/>
      <c r="K198" s="7"/>
      <c r="L198" s="7"/>
      <c r="M198" s="5" t="s">
        <v>59</v>
      </c>
      <c r="N198" s="5" t="s">
        <v>59</v>
      </c>
      <c r="O198" s="7" t="s">
        <v>54</v>
      </c>
    </row>
    <row r="199" spans="1:15" x14ac:dyDescent="0.35">
      <c r="A199" s="5" t="s">
        <v>891</v>
      </c>
      <c r="B199" s="7" t="s">
        <v>580</v>
      </c>
      <c r="C199" s="7" t="s">
        <v>216</v>
      </c>
      <c r="D199" s="6" t="s">
        <v>48</v>
      </c>
      <c r="E199" s="6" t="s">
        <v>49</v>
      </c>
      <c r="F199" s="6" t="s">
        <v>55</v>
      </c>
      <c r="G199" s="6" t="s">
        <v>7</v>
      </c>
      <c r="H199" s="6" t="s">
        <v>52</v>
      </c>
      <c r="I199" s="6" t="s">
        <v>52</v>
      </c>
      <c r="J199" s="6"/>
      <c r="K199" s="6"/>
      <c r="L199" s="6"/>
      <c r="M199" s="5" t="s">
        <v>63</v>
      </c>
      <c r="N199" s="5" t="s">
        <v>63</v>
      </c>
      <c r="O199" s="6" t="s">
        <v>54</v>
      </c>
    </row>
    <row r="200" spans="1:15" x14ac:dyDescent="0.35">
      <c r="A200" s="5" t="s">
        <v>882</v>
      </c>
      <c r="B200" s="6" t="s">
        <v>503</v>
      </c>
      <c r="C200" s="6" t="s">
        <v>139</v>
      </c>
      <c r="D200" s="6" t="s">
        <v>48</v>
      </c>
      <c r="E200" s="6" t="s">
        <v>49</v>
      </c>
      <c r="F200" s="6" t="s">
        <v>50</v>
      </c>
      <c r="G200" s="6" t="s">
        <v>5</v>
      </c>
      <c r="H200" s="6" t="s">
        <v>52</v>
      </c>
      <c r="I200" s="6" t="s">
        <v>52</v>
      </c>
      <c r="J200" s="6" t="s">
        <v>51</v>
      </c>
      <c r="K200" s="6" t="s">
        <v>58</v>
      </c>
      <c r="L200" s="6"/>
      <c r="M200" s="5" t="s">
        <v>56</v>
      </c>
      <c r="N200" s="5" t="s">
        <v>56</v>
      </c>
      <c r="O200" s="6" t="s">
        <v>54</v>
      </c>
    </row>
    <row r="201" spans="1:15" x14ac:dyDescent="0.35">
      <c r="A201" s="5" t="s">
        <v>850</v>
      </c>
      <c r="B201" s="6" t="s">
        <v>815</v>
      </c>
      <c r="C201" s="6" t="s">
        <v>451</v>
      </c>
      <c r="D201" s="7" t="s">
        <v>48</v>
      </c>
      <c r="E201" s="7" t="s">
        <v>49</v>
      </c>
      <c r="F201" s="7" t="s">
        <v>50</v>
      </c>
      <c r="G201" s="7" t="s">
        <v>26</v>
      </c>
      <c r="H201" s="7" t="s">
        <v>51</v>
      </c>
      <c r="I201" s="7" t="s">
        <v>52</v>
      </c>
      <c r="J201" s="7"/>
      <c r="K201" s="7"/>
      <c r="L201" s="7"/>
      <c r="M201" s="5" t="s">
        <v>57</v>
      </c>
      <c r="N201" s="5" t="s">
        <v>57</v>
      </c>
      <c r="O201" s="7" t="s">
        <v>54</v>
      </c>
    </row>
    <row r="202" spans="1:15" x14ac:dyDescent="0.35">
      <c r="A202" s="5" t="s">
        <v>864</v>
      </c>
      <c r="B202" s="6" t="s">
        <v>468</v>
      </c>
      <c r="C202" s="6" t="s">
        <v>104</v>
      </c>
      <c r="D202" s="7" t="s">
        <v>48</v>
      </c>
      <c r="E202" s="7" t="s">
        <v>49</v>
      </c>
      <c r="F202" s="7" t="s">
        <v>50</v>
      </c>
      <c r="G202" s="7" t="s">
        <v>5</v>
      </c>
      <c r="H202" s="7" t="s">
        <v>51</v>
      </c>
      <c r="I202" s="7" t="s">
        <v>52</v>
      </c>
      <c r="J202" s="7" t="s">
        <v>51</v>
      </c>
      <c r="K202" s="7" t="s">
        <v>58</v>
      </c>
      <c r="L202" s="7"/>
      <c r="M202" s="5" t="s">
        <v>57</v>
      </c>
      <c r="N202" s="5" t="s">
        <v>57</v>
      </c>
      <c r="O202" s="7" t="s">
        <v>54</v>
      </c>
    </row>
    <row r="203" spans="1:15" x14ac:dyDescent="0.35">
      <c r="A203" s="5" t="s">
        <v>864</v>
      </c>
      <c r="B203" s="6" t="s">
        <v>623</v>
      </c>
      <c r="C203" s="6" t="s">
        <v>259</v>
      </c>
      <c r="D203" s="6" t="s">
        <v>48</v>
      </c>
      <c r="E203" s="6" t="s">
        <v>49</v>
      </c>
      <c r="F203" s="6" t="s">
        <v>50</v>
      </c>
      <c r="G203" s="6" t="s">
        <v>26</v>
      </c>
      <c r="H203" s="6" t="s">
        <v>52</v>
      </c>
      <c r="I203" s="6" t="s">
        <v>52</v>
      </c>
      <c r="J203" s="6"/>
      <c r="K203" s="6"/>
      <c r="L203" s="6"/>
      <c r="M203" s="5" t="s">
        <v>57</v>
      </c>
      <c r="N203" s="5" t="s">
        <v>57</v>
      </c>
      <c r="O203" s="6" t="s">
        <v>54</v>
      </c>
    </row>
    <row r="204" spans="1:15" x14ac:dyDescent="0.35">
      <c r="A204" s="5" t="s">
        <v>837</v>
      </c>
      <c r="B204" s="6" t="s">
        <v>734</v>
      </c>
      <c r="C204" s="6" t="s">
        <v>370</v>
      </c>
      <c r="D204" s="7" t="s">
        <v>48</v>
      </c>
      <c r="E204" s="7" t="s">
        <v>49</v>
      </c>
      <c r="F204" s="7" t="s">
        <v>55</v>
      </c>
      <c r="G204" s="7" t="s">
        <v>5</v>
      </c>
      <c r="H204" s="7" t="s">
        <v>52</v>
      </c>
      <c r="I204" s="7" t="s">
        <v>52</v>
      </c>
      <c r="J204" s="7"/>
      <c r="K204" s="7"/>
      <c r="L204" s="7"/>
      <c r="M204" s="5" t="s">
        <v>63</v>
      </c>
      <c r="N204" s="5" t="s">
        <v>63</v>
      </c>
      <c r="O204" s="7" t="s">
        <v>54</v>
      </c>
    </row>
    <row r="205" spans="1:15" x14ac:dyDescent="0.35">
      <c r="A205" s="5" t="s">
        <v>893</v>
      </c>
      <c r="B205" s="6" t="s">
        <v>752</v>
      </c>
      <c r="C205" s="6" t="s">
        <v>388</v>
      </c>
      <c r="D205" s="7" t="s">
        <v>48</v>
      </c>
      <c r="E205" s="7" t="s">
        <v>49</v>
      </c>
      <c r="F205" s="7" t="s">
        <v>55</v>
      </c>
      <c r="G205" s="7" t="s">
        <v>16</v>
      </c>
      <c r="H205" s="7" t="s">
        <v>52</v>
      </c>
      <c r="I205" s="7" t="s">
        <v>52</v>
      </c>
      <c r="J205" s="7"/>
      <c r="K205" s="7"/>
      <c r="L205" s="7"/>
      <c r="M205" s="5" t="s">
        <v>67</v>
      </c>
      <c r="N205" s="5" t="s">
        <v>67</v>
      </c>
      <c r="O205" s="7" t="s">
        <v>54</v>
      </c>
    </row>
    <row r="206" spans="1:15" x14ac:dyDescent="0.35">
      <c r="A206" s="5" t="s">
        <v>873</v>
      </c>
      <c r="B206" s="6" t="s">
        <v>477</v>
      </c>
      <c r="C206" s="6" t="s">
        <v>113</v>
      </c>
      <c r="D206" s="6" t="s">
        <v>48</v>
      </c>
      <c r="E206" s="6" t="s">
        <v>49</v>
      </c>
      <c r="F206" s="6" t="s">
        <v>50</v>
      </c>
      <c r="G206" s="6" t="s">
        <v>29</v>
      </c>
      <c r="H206" s="6" t="s">
        <v>52</v>
      </c>
      <c r="I206" s="6" t="s">
        <v>64</v>
      </c>
      <c r="J206" s="6"/>
      <c r="K206" s="6"/>
      <c r="L206" s="6"/>
      <c r="M206" s="5" t="s">
        <v>57</v>
      </c>
      <c r="N206" s="5" t="s">
        <v>57</v>
      </c>
      <c r="O206" s="6" t="s">
        <v>54</v>
      </c>
    </row>
    <row r="207" spans="1:15" x14ac:dyDescent="0.35">
      <c r="A207" s="5" t="s">
        <v>849</v>
      </c>
      <c r="B207" s="6" t="s">
        <v>671</v>
      </c>
      <c r="C207" s="6" t="s">
        <v>307</v>
      </c>
      <c r="D207" s="6" t="s">
        <v>48</v>
      </c>
      <c r="E207" s="6" t="s">
        <v>49</v>
      </c>
      <c r="F207" s="6" t="s">
        <v>55</v>
      </c>
      <c r="G207" s="6" t="s">
        <v>12</v>
      </c>
      <c r="H207" s="6" t="s">
        <v>51</v>
      </c>
      <c r="I207" s="6" t="s">
        <v>52</v>
      </c>
      <c r="J207" s="6" t="s">
        <v>51</v>
      </c>
      <c r="K207" s="6" t="s">
        <v>51</v>
      </c>
      <c r="L207" s="6"/>
      <c r="M207" s="5" t="s">
        <v>59</v>
      </c>
      <c r="N207" s="5" t="s">
        <v>59</v>
      </c>
      <c r="O207" s="6" t="s">
        <v>54</v>
      </c>
    </row>
    <row r="208" spans="1:15" x14ac:dyDescent="0.35">
      <c r="A208" s="5" t="s">
        <v>841</v>
      </c>
      <c r="B208" s="7" t="s">
        <v>535</v>
      </c>
      <c r="C208" s="7" t="s">
        <v>171</v>
      </c>
      <c r="D208" s="7" t="s">
        <v>48</v>
      </c>
      <c r="E208" s="7" t="s">
        <v>49</v>
      </c>
      <c r="F208" s="7" t="s">
        <v>50</v>
      </c>
      <c r="G208" s="7" t="s">
        <v>5</v>
      </c>
      <c r="H208" s="7" t="s">
        <v>52</v>
      </c>
      <c r="I208" s="7" t="s">
        <v>52</v>
      </c>
      <c r="J208" s="7"/>
      <c r="K208" s="7"/>
      <c r="L208" s="7"/>
      <c r="M208" s="5" t="s">
        <v>57</v>
      </c>
      <c r="N208" s="5" t="s">
        <v>57</v>
      </c>
      <c r="O208" s="7" t="s">
        <v>54</v>
      </c>
    </row>
    <row r="209" spans="1:15" x14ac:dyDescent="0.35">
      <c r="A209" s="5" t="s">
        <v>901</v>
      </c>
      <c r="B209" s="7" t="s">
        <v>772</v>
      </c>
      <c r="C209" s="7" t="s">
        <v>408</v>
      </c>
      <c r="D209" s="7" t="s">
        <v>48</v>
      </c>
      <c r="E209" s="7" t="s">
        <v>49</v>
      </c>
      <c r="F209" s="7" t="s">
        <v>50</v>
      </c>
      <c r="G209" s="7" t="s">
        <v>9</v>
      </c>
      <c r="H209" s="7" t="s">
        <v>52</v>
      </c>
      <c r="I209" s="7" t="s">
        <v>52</v>
      </c>
      <c r="J209" s="7"/>
      <c r="K209" s="7"/>
      <c r="L209" s="7"/>
      <c r="M209" s="5" t="s">
        <v>61</v>
      </c>
      <c r="N209" s="5" t="s">
        <v>61</v>
      </c>
      <c r="O209" s="7" t="s">
        <v>54</v>
      </c>
    </row>
    <row r="210" spans="1:15" x14ac:dyDescent="0.35">
      <c r="A210" s="5" t="s">
        <v>841</v>
      </c>
      <c r="B210" s="6" t="s">
        <v>566</v>
      </c>
      <c r="C210" s="6" t="s">
        <v>202</v>
      </c>
      <c r="D210" s="6" t="s">
        <v>48</v>
      </c>
      <c r="E210" s="6" t="s">
        <v>49</v>
      </c>
      <c r="F210" s="6" t="s">
        <v>50</v>
      </c>
      <c r="G210" s="6" t="s">
        <v>9</v>
      </c>
      <c r="H210" s="6" t="s">
        <v>52</v>
      </c>
      <c r="I210" s="6" t="s">
        <v>52</v>
      </c>
      <c r="J210" s="6"/>
      <c r="K210" s="6"/>
      <c r="L210" s="6"/>
      <c r="M210" s="5" t="s">
        <v>57</v>
      </c>
      <c r="N210" s="5" t="s">
        <v>57</v>
      </c>
      <c r="O210" s="6" t="s">
        <v>54</v>
      </c>
    </row>
    <row r="211" spans="1:15" x14ac:dyDescent="0.35">
      <c r="A211" s="5" t="s">
        <v>901</v>
      </c>
      <c r="B211" s="7" t="s">
        <v>802</v>
      </c>
      <c r="C211" s="7" t="s">
        <v>438</v>
      </c>
      <c r="D211" s="6" t="s">
        <v>48</v>
      </c>
      <c r="E211" s="6" t="s">
        <v>49</v>
      </c>
      <c r="F211" s="6" t="s">
        <v>50</v>
      </c>
      <c r="G211" s="6" t="s">
        <v>5</v>
      </c>
      <c r="H211" s="6" t="s">
        <v>52</v>
      </c>
      <c r="I211" s="6" t="s">
        <v>52</v>
      </c>
      <c r="J211" s="6"/>
      <c r="K211" s="6"/>
      <c r="L211" s="6"/>
      <c r="M211" s="5" t="s">
        <v>61</v>
      </c>
      <c r="N211" s="5" t="s">
        <v>61</v>
      </c>
      <c r="O211" s="6" t="s">
        <v>54</v>
      </c>
    </row>
    <row r="212" spans="1:15" x14ac:dyDescent="0.35">
      <c r="A212" s="5" t="s">
        <v>830</v>
      </c>
      <c r="B212" s="6" t="s">
        <v>575</v>
      </c>
      <c r="C212" s="6" t="s">
        <v>211</v>
      </c>
      <c r="D212" s="7" t="s">
        <v>48</v>
      </c>
      <c r="E212" s="7" t="s">
        <v>49</v>
      </c>
      <c r="F212" s="7" t="s">
        <v>55</v>
      </c>
      <c r="G212" s="7" t="s">
        <v>8</v>
      </c>
      <c r="H212" s="7" t="s">
        <v>52</v>
      </c>
      <c r="I212" s="7" t="s">
        <v>60</v>
      </c>
      <c r="J212" s="7"/>
      <c r="K212" s="7"/>
      <c r="L212" s="7"/>
      <c r="M212" s="5" t="s">
        <v>56</v>
      </c>
      <c r="N212" s="5" t="s">
        <v>56</v>
      </c>
      <c r="O212" s="7" t="s">
        <v>54</v>
      </c>
    </row>
    <row r="213" spans="1:15" x14ac:dyDescent="0.35">
      <c r="A213" s="5" t="s">
        <v>832</v>
      </c>
      <c r="B213" s="6" t="s">
        <v>620</v>
      </c>
      <c r="C213" s="6" t="s">
        <v>256</v>
      </c>
      <c r="D213" s="7" t="s">
        <v>48</v>
      </c>
      <c r="E213" s="7" t="s">
        <v>49</v>
      </c>
      <c r="F213" s="7" t="s">
        <v>50</v>
      </c>
      <c r="G213" s="7" t="s">
        <v>29</v>
      </c>
      <c r="H213" s="7" t="s">
        <v>52</v>
      </c>
      <c r="I213" s="7" t="s">
        <v>52</v>
      </c>
      <c r="J213" s="7"/>
      <c r="K213" s="7"/>
      <c r="L213" s="7"/>
      <c r="M213" s="5" t="s">
        <v>59</v>
      </c>
      <c r="N213" s="5" t="s">
        <v>59</v>
      </c>
      <c r="O213" s="7" t="s">
        <v>54</v>
      </c>
    </row>
    <row r="214" spans="1:15" x14ac:dyDescent="0.35">
      <c r="A214" s="5" t="s">
        <v>854</v>
      </c>
      <c r="B214" s="6" t="s">
        <v>816</v>
      </c>
      <c r="C214" s="6" t="s">
        <v>452</v>
      </c>
      <c r="D214" s="6" t="s">
        <v>48</v>
      </c>
      <c r="E214" s="6" t="s">
        <v>49</v>
      </c>
      <c r="F214" s="6" t="s">
        <v>50</v>
      </c>
      <c r="G214" s="6" t="s">
        <v>5</v>
      </c>
      <c r="H214" s="6" t="s">
        <v>52</v>
      </c>
      <c r="I214" s="6" t="s">
        <v>52</v>
      </c>
      <c r="J214" s="6"/>
      <c r="K214" s="6"/>
      <c r="L214" s="6"/>
      <c r="M214" s="5" t="s">
        <v>69</v>
      </c>
      <c r="N214" s="5" t="s">
        <v>69</v>
      </c>
      <c r="O214" s="6" t="s">
        <v>54</v>
      </c>
    </row>
    <row r="215" spans="1:15" x14ac:dyDescent="0.35">
      <c r="A215" s="5" t="s">
        <v>893</v>
      </c>
      <c r="B215" s="7" t="s">
        <v>682</v>
      </c>
      <c r="C215" s="7" t="s">
        <v>318</v>
      </c>
      <c r="D215" s="7" t="s">
        <v>48</v>
      </c>
      <c r="E215" s="7" t="s">
        <v>49</v>
      </c>
      <c r="F215" s="7" t="s">
        <v>55</v>
      </c>
      <c r="G215" s="7" t="s">
        <v>21</v>
      </c>
      <c r="H215" s="7" t="s">
        <v>52</v>
      </c>
      <c r="I215" s="7" t="s">
        <v>52</v>
      </c>
      <c r="J215" s="7"/>
      <c r="K215" s="7"/>
      <c r="L215" s="7"/>
      <c r="M215" s="5" t="s">
        <v>67</v>
      </c>
      <c r="N215" s="5" t="s">
        <v>67</v>
      </c>
      <c r="O215" s="7" t="s">
        <v>54</v>
      </c>
    </row>
    <row r="216" spans="1:15" x14ac:dyDescent="0.35">
      <c r="A216" s="5" t="s">
        <v>917</v>
      </c>
      <c r="B216" s="6" t="s">
        <v>822</v>
      </c>
      <c r="C216" s="6" t="s">
        <v>458</v>
      </c>
      <c r="D216" s="6" t="s">
        <v>48</v>
      </c>
      <c r="E216" s="6" t="s">
        <v>49</v>
      </c>
      <c r="F216" s="6" t="s">
        <v>55</v>
      </c>
      <c r="G216" s="6" t="s">
        <v>0</v>
      </c>
      <c r="H216" s="6" t="s">
        <v>52</v>
      </c>
      <c r="I216" s="6" t="s">
        <v>52</v>
      </c>
      <c r="J216" s="6" t="s">
        <v>51</v>
      </c>
      <c r="K216" s="6" t="s">
        <v>51</v>
      </c>
      <c r="L216" s="6"/>
      <c r="M216" s="5" t="s">
        <v>75</v>
      </c>
      <c r="N216" s="5" t="s">
        <v>75</v>
      </c>
      <c r="O216" s="6" t="s">
        <v>54</v>
      </c>
    </row>
    <row r="217" spans="1:15" x14ac:dyDescent="0.35">
      <c r="A217" s="5" t="s">
        <v>842</v>
      </c>
      <c r="B217" s="7" t="s">
        <v>730</v>
      </c>
      <c r="C217" s="7" t="s">
        <v>366</v>
      </c>
      <c r="D217" s="7" t="s">
        <v>48</v>
      </c>
      <c r="E217" s="7" t="s">
        <v>49</v>
      </c>
      <c r="F217" s="7" t="s">
        <v>55</v>
      </c>
      <c r="G217" s="7" t="s">
        <v>9</v>
      </c>
      <c r="H217" s="7" t="s">
        <v>52</v>
      </c>
      <c r="I217" s="7" t="s">
        <v>81</v>
      </c>
      <c r="J217" s="7"/>
      <c r="K217" s="7"/>
      <c r="L217" s="7"/>
      <c r="M217" s="5" t="s">
        <v>57</v>
      </c>
      <c r="N217" s="5" t="s">
        <v>57</v>
      </c>
      <c r="O217" s="7" t="s">
        <v>54</v>
      </c>
    </row>
    <row r="218" spans="1:15" x14ac:dyDescent="0.35">
      <c r="A218" s="5" t="s">
        <v>862</v>
      </c>
      <c r="B218" s="6" t="s">
        <v>813</v>
      </c>
      <c r="C218" s="6" t="s">
        <v>449</v>
      </c>
      <c r="D218" s="7" t="s">
        <v>48</v>
      </c>
      <c r="E218" s="7" t="s">
        <v>49</v>
      </c>
      <c r="F218" s="7" t="s">
        <v>55</v>
      </c>
      <c r="G218" s="7" t="s">
        <v>9</v>
      </c>
      <c r="H218" s="7" t="s">
        <v>52</v>
      </c>
      <c r="I218" s="7" t="s">
        <v>52</v>
      </c>
      <c r="J218" s="7" t="s">
        <v>51</v>
      </c>
      <c r="K218" s="7" t="s">
        <v>58</v>
      </c>
      <c r="L218" s="7"/>
      <c r="M218" s="5" t="s">
        <v>67</v>
      </c>
      <c r="N218" s="5" t="s">
        <v>67</v>
      </c>
      <c r="O218" s="7" t="s">
        <v>54</v>
      </c>
    </row>
    <row r="219" spans="1:15" x14ac:dyDescent="0.35">
      <c r="A219" s="5" t="s">
        <v>851</v>
      </c>
      <c r="B219" s="6" t="s">
        <v>704</v>
      </c>
      <c r="C219" s="6" t="s">
        <v>340</v>
      </c>
      <c r="D219" s="6" t="s">
        <v>48</v>
      </c>
      <c r="E219" s="6" t="s">
        <v>49</v>
      </c>
      <c r="F219" s="6" t="s">
        <v>55</v>
      </c>
      <c r="G219" s="6" t="s">
        <v>0</v>
      </c>
      <c r="H219" s="6" t="s">
        <v>52</v>
      </c>
      <c r="I219" s="6" t="s">
        <v>52</v>
      </c>
      <c r="J219" s="6"/>
      <c r="K219" s="6"/>
      <c r="L219" s="6"/>
      <c r="M219" s="5" t="s">
        <v>67</v>
      </c>
      <c r="N219" s="5" t="s">
        <v>67</v>
      </c>
      <c r="O219" s="6" t="s">
        <v>54</v>
      </c>
    </row>
    <row r="220" spans="1:15" x14ac:dyDescent="0.35">
      <c r="A220" s="5" t="s">
        <v>918</v>
      </c>
      <c r="B220" s="6" t="s">
        <v>594</v>
      </c>
      <c r="C220" s="6" t="s">
        <v>230</v>
      </c>
      <c r="D220" s="7" t="s">
        <v>48</v>
      </c>
      <c r="E220" s="7" t="s">
        <v>49</v>
      </c>
      <c r="F220" s="7" t="s">
        <v>55</v>
      </c>
      <c r="G220" s="7" t="s">
        <v>18</v>
      </c>
      <c r="H220" s="7" t="s">
        <v>52</v>
      </c>
      <c r="I220" s="7" t="s">
        <v>60</v>
      </c>
      <c r="J220" s="7" t="s">
        <v>51</v>
      </c>
      <c r="K220" s="7"/>
      <c r="L220" s="7"/>
      <c r="M220" s="5" t="s">
        <v>66</v>
      </c>
      <c r="N220" s="5" t="s">
        <v>66</v>
      </c>
      <c r="O220" s="7" t="s">
        <v>54</v>
      </c>
    </row>
    <row r="221" spans="1:15" x14ac:dyDescent="0.35">
      <c r="A221" s="5" t="s">
        <v>845</v>
      </c>
      <c r="B221" s="6" t="s">
        <v>467</v>
      </c>
      <c r="C221" s="6" t="s">
        <v>103</v>
      </c>
      <c r="D221" s="6" t="s">
        <v>48</v>
      </c>
      <c r="E221" s="6" t="s">
        <v>49</v>
      </c>
      <c r="F221" s="6" t="s">
        <v>55</v>
      </c>
      <c r="G221" s="6" t="s">
        <v>30</v>
      </c>
      <c r="H221" s="6" t="s">
        <v>52</v>
      </c>
      <c r="I221" s="6" t="s">
        <v>52</v>
      </c>
      <c r="J221" s="6" t="s">
        <v>51</v>
      </c>
      <c r="K221" s="6"/>
      <c r="L221" s="6"/>
      <c r="M221" s="5" t="s">
        <v>57</v>
      </c>
      <c r="N221" s="5" t="s">
        <v>57</v>
      </c>
      <c r="O221" s="6" t="s">
        <v>54</v>
      </c>
    </row>
    <row r="222" spans="1:15" x14ac:dyDescent="0.35">
      <c r="A222" s="5" t="s">
        <v>898</v>
      </c>
      <c r="B222" s="7" t="s">
        <v>796</v>
      </c>
      <c r="C222" s="7" t="s">
        <v>432</v>
      </c>
      <c r="D222" s="6" t="s">
        <v>48</v>
      </c>
      <c r="E222" s="6" t="s">
        <v>49</v>
      </c>
      <c r="F222" s="6" t="s">
        <v>55</v>
      </c>
      <c r="G222" s="6" t="s">
        <v>9</v>
      </c>
      <c r="H222" s="6" t="s">
        <v>52</v>
      </c>
      <c r="I222" s="6" t="s">
        <v>52</v>
      </c>
      <c r="J222" s="6" t="s">
        <v>51</v>
      </c>
      <c r="K222" s="6"/>
      <c r="L222" s="6" t="s">
        <v>68</v>
      </c>
      <c r="M222" s="5" t="s">
        <v>61</v>
      </c>
      <c r="N222" s="5" t="s">
        <v>61</v>
      </c>
      <c r="O222" s="6" t="s">
        <v>54</v>
      </c>
    </row>
    <row r="223" spans="1:15" x14ac:dyDescent="0.35">
      <c r="A223" s="5" t="s">
        <v>830</v>
      </c>
      <c r="B223" s="6" t="s">
        <v>713</v>
      </c>
      <c r="C223" s="6" t="s">
        <v>349</v>
      </c>
      <c r="D223" s="6" t="s">
        <v>48</v>
      </c>
      <c r="E223" s="6" t="s">
        <v>49</v>
      </c>
      <c r="F223" s="6" t="s">
        <v>55</v>
      </c>
      <c r="G223" s="6" t="s">
        <v>5</v>
      </c>
      <c r="H223" s="6" t="s">
        <v>52</v>
      </c>
      <c r="I223" s="6" t="s">
        <v>52</v>
      </c>
      <c r="J223" s="6" t="s">
        <v>51</v>
      </c>
      <c r="K223" s="6"/>
      <c r="L223" s="6"/>
      <c r="M223" s="5" t="s">
        <v>56</v>
      </c>
      <c r="N223" s="5" t="s">
        <v>56</v>
      </c>
      <c r="O223" s="6" t="s">
        <v>54</v>
      </c>
    </row>
    <row r="224" spans="1:15" x14ac:dyDescent="0.35">
      <c r="A224" s="5" t="s">
        <v>863</v>
      </c>
      <c r="B224" s="6" t="s">
        <v>572</v>
      </c>
      <c r="C224" s="6" t="s">
        <v>208</v>
      </c>
      <c r="D224" s="6" t="s">
        <v>48</v>
      </c>
      <c r="E224" s="6" t="s">
        <v>49</v>
      </c>
      <c r="F224" s="6" t="s">
        <v>50</v>
      </c>
      <c r="G224" s="6" t="s">
        <v>26</v>
      </c>
      <c r="H224" s="6" t="s">
        <v>52</v>
      </c>
      <c r="I224" s="6" t="s">
        <v>64</v>
      </c>
      <c r="J224" s="6"/>
      <c r="K224" s="6"/>
      <c r="L224" s="6"/>
      <c r="M224" s="5" t="s">
        <v>56</v>
      </c>
      <c r="N224" s="5" t="s">
        <v>56</v>
      </c>
      <c r="O224" s="6" t="s">
        <v>54</v>
      </c>
    </row>
    <row r="225" spans="1:15" x14ac:dyDescent="0.35">
      <c r="A225" s="5" t="s">
        <v>870</v>
      </c>
      <c r="B225" s="6" t="s">
        <v>639</v>
      </c>
      <c r="C225" s="6" t="s">
        <v>275</v>
      </c>
      <c r="D225" s="7" t="s">
        <v>48</v>
      </c>
      <c r="E225" s="7" t="s">
        <v>49</v>
      </c>
      <c r="F225" s="7" t="s">
        <v>50</v>
      </c>
      <c r="G225" s="7" t="s">
        <v>9</v>
      </c>
      <c r="H225" s="7" t="s">
        <v>52</v>
      </c>
      <c r="I225" s="7" t="s">
        <v>52</v>
      </c>
      <c r="J225" s="7"/>
      <c r="K225" s="7"/>
      <c r="L225" s="7"/>
      <c r="M225" s="5" t="s">
        <v>67</v>
      </c>
      <c r="N225" s="5" t="s">
        <v>67</v>
      </c>
      <c r="O225" s="7" t="s">
        <v>54</v>
      </c>
    </row>
    <row r="226" spans="1:15" x14ac:dyDescent="0.35">
      <c r="A226" s="5" t="s">
        <v>877</v>
      </c>
      <c r="B226" s="6" t="s">
        <v>642</v>
      </c>
      <c r="C226" s="6" t="s">
        <v>278</v>
      </c>
      <c r="D226" s="6" t="s">
        <v>48</v>
      </c>
      <c r="E226" s="6" t="s">
        <v>49</v>
      </c>
      <c r="F226" s="6" t="s">
        <v>50</v>
      </c>
      <c r="G226" s="6" t="s">
        <v>5</v>
      </c>
      <c r="H226" s="6" t="s">
        <v>52</v>
      </c>
      <c r="I226" s="6" t="s">
        <v>52</v>
      </c>
      <c r="J226" s="6" t="s">
        <v>51</v>
      </c>
      <c r="K226" s="6" t="s">
        <v>51</v>
      </c>
      <c r="L226" s="6" t="s">
        <v>76</v>
      </c>
      <c r="M226" s="5" t="s">
        <v>63</v>
      </c>
      <c r="N226" s="5" t="s">
        <v>63</v>
      </c>
      <c r="O226" s="6" t="s">
        <v>54</v>
      </c>
    </row>
    <row r="227" spans="1:15" x14ac:dyDescent="0.35">
      <c r="A227" s="5" t="s">
        <v>849</v>
      </c>
      <c r="B227" s="7" t="s">
        <v>538</v>
      </c>
      <c r="C227" s="7" t="s">
        <v>174</v>
      </c>
      <c r="D227" s="6" t="s">
        <v>48</v>
      </c>
      <c r="E227" s="6" t="s">
        <v>49</v>
      </c>
      <c r="F227" s="6" t="s">
        <v>55</v>
      </c>
      <c r="G227" s="6" t="s">
        <v>5</v>
      </c>
      <c r="H227" s="6" t="s">
        <v>52</v>
      </c>
      <c r="I227" s="6" t="s">
        <v>52</v>
      </c>
      <c r="J227" s="6"/>
      <c r="K227" s="6"/>
      <c r="L227" s="6"/>
      <c r="M227" s="5" t="s">
        <v>59</v>
      </c>
      <c r="N227" s="5" t="s">
        <v>59</v>
      </c>
      <c r="O227" s="6" t="s">
        <v>54</v>
      </c>
    </row>
    <row r="228" spans="1:15" x14ac:dyDescent="0.35">
      <c r="A228" s="5" t="s">
        <v>919</v>
      </c>
      <c r="B228" s="6" t="s">
        <v>731</v>
      </c>
      <c r="C228" s="6" t="s">
        <v>367</v>
      </c>
      <c r="D228" s="6" t="s">
        <v>48</v>
      </c>
      <c r="E228" s="6" t="s">
        <v>49</v>
      </c>
      <c r="F228" s="6" t="s">
        <v>50</v>
      </c>
      <c r="G228" s="6" t="s">
        <v>5</v>
      </c>
      <c r="H228" s="6" t="s">
        <v>51</v>
      </c>
      <c r="I228" s="6" t="s">
        <v>52</v>
      </c>
      <c r="J228" s="6" t="s">
        <v>51</v>
      </c>
      <c r="K228" s="6" t="s">
        <v>51</v>
      </c>
      <c r="L228" s="6"/>
      <c r="M228" s="5" t="s">
        <v>59</v>
      </c>
      <c r="N228" s="5" t="s">
        <v>59</v>
      </c>
      <c r="O228" s="6" t="s">
        <v>54</v>
      </c>
    </row>
    <row r="229" spans="1:15" x14ac:dyDescent="0.35">
      <c r="A229" s="5" t="s">
        <v>920</v>
      </c>
      <c r="B229" s="7" t="s">
        <v>733</v>
      </c>
      <c r="C229" s="7" t="s">
        <v>369</v>
      </c>
      <c r="D229" s="6" t="s">
        <v>48</v>
      </c>
      <c r="E229" s="6" t="s">
        <v>49</v>
      </c>
      <c r="F229" s="6" t="s">
        <v>50</v>
      </c>
      <c r="G229" s="6" t="s">
        <v>9</v>
      </c>
      <c r="H229" s="6" t="s">
        <v>52</v>
      </c>
      <c r="I229" s="6" t="s">
        <v>60</v>
      </c>
      <c r="J229" s="6"/>
      <c r="K229" s="6"/>
      <c r="L229" s="6"/>
      <c r="M229" s="5" t="s">
        <v>90</v>
      </c>
      <c r="N229" s="5" t="s">
        <v>90</v>
      </c>
      <c r="O229" s="6" t="s">
        <v>54</v>
      </c>
    </row>
    <row r="230" spans="1:15" x14ac:dyDescent="0.35">
      <c r="A230" s="5" t="s">
        <v>872</v>
      </c>
      <c r="B230" s="7" t="s">
        <v>622</v>
      </c>
      <c r="C230" s="7" t="s">
        <v>258</v>
      </c>
      <c r="D230" s="7" t="s">
        <v>48</v>
      </c>
      <c r="E230" s="7" t="s">
        <v>49</v>
      </c>
      <c r="F230" s="7" t="s">
        <v>55</v>
      </c>
      <c r="G230" s="7" t="s">
        <v>1</v>
      </c>
      <c r="H230" s="7" t="s">
        <v>52</v>
      </c>
      <c r="I230" s="7" t="s">
        <v>52</v>
      </c>
      <c r="J230" s="7"/>
      <c r="K230" s="7"/>
      <c r="L230" s="7"/>
      <c r="M230" s="5" t="s">
        <v>57</v>
      </c>
      <c r="N230" s="5" t="s">
        <v>57</v>
      </c>
      <c r="O230" s="7" t="s">
        <v>54</v>
      </c>
    </row>
    <row r="231" spans="1:15" x14ac:dyDescent="0.35">
      <c r="A231" s="5" t="s">
        <v>921</v>
      </c>
      <c r="B231" s="6" t="s">
        <v>614</v>
      </c>
      <c r="C231" s="6" t="s">
        <v>250</v>
      </c>
      <c r="D231" s="7" t="s">
        <v>48</v>
      </c>
      <c r="E231" s="7" t="s">
        <v>49</v>
      </c>
      <c r="F231" s="7" t="s">
        <v>55</v>
      </c>
      <c r="G231" s="7" t="s">
        <v>2</v>
      </c>
      <c r="H231" s="7" t="s">
        <v>52</v>
      </c>
      <c r="I231" s="7" t="s">
        <v>52</v>
      </c>
      <c r="J231" s="7" t="s">
        <v>51</v>
      </c>
      <c r="K231" s="7"/>
      <c r="L231" s="7"/>
      <c r="M231" s="5" t="s">
        <v>85</v>
      </c>
      <c r="N231" s="5" t="s">
        <v>85</v>
      </c>
      <c r="O231" s="7" t="s">
        <v>54</v>
      </c>
    </row>
    <row r="232" spans="1:15" x14ac:dyDescent="0.35">
      <c r="A232" s="5" t="s">
        <v>875</v>
      </c>
      <c r="B232" s="7" t="s">
        <v>634</v>
      </c>
      <c r="C232" s="7" t="s">
        <v>270</v>
      </c>
      <c r="D232" s="6" t="s">
        <v>48</v>
      </c>
      <c r="E232" s="6" t="s">
        <v>49</v>
      </c>
      <c r="F232" s="6" t="s">
        <v>50</v>
      </c>
      <c r="G232" s="6" t="s">
        <v>5</v>
      </c>
      <c r="H232" s="6" t="s">
        <v>52</v>
      </c>
      <c r="I232" s="6" t="s">
        <v>52</v>
      </c>
      <c r="J232" s="6"/>
      <c r="K232" s="6"/>
      <c r="L232" s="6"/>
      <c r="M232" s="5" t="s">
        <v>67</v>
      </c>
      <c r="N232" s="5" t="s">
        <v>67</v>
      </c>
      <c r="O232" s="6" t="s">
        <v>54</v>
      </c>
    </row>
    <row r="233" spans="1:15" x14ac:dyDescent="0.35">
      <c r="A233" s="5" t="s">
        <v>850</v>
      </c>
      <c r="B233" s="6" t="s">
        <v>717</v>
      </c>
      <c r="C233" s="6" t="s">
        <v>353</v>
      </c>
      <c r="D233" s="6" t="s">
        <v>48</v>
      </c>
      <c r="E233" s="6" t="s">
        <v>49</v>
      </c>
      <c r="F233" s="6" t="s">
        <v>50</v>
      </c>
      <c r="G233" s="6" t="s">
        <v>5</v>
      </c>
      <c r="H233" s="6" t="s">
        <v>52</v>
      </c>
      <c r="I233" s="6" t="s">
        <v>52</v>
      </c>
      <c r="J233" s="6"/>
      <c r="K233" s="6"/>
      <c r="L233" s="6"/>
      <c r="M233" s="5" t="s">
        <v>57</v>
      </c>
      <c r="N233" s="5" t="s">
        <v>57</v>
      </c>
      <c r="O233" s="6" t="s">
        <v>54</v>
      </c>
    </row>
    <row r="234" spans="1:15" x14ac:dyDescent="0.35">
      <c r="A234" s="5" t="s">
        <v>889</v>
      </c>
      <c r="B234" s="6" t="s">
        <v>524</v>
      </c>
      <c r="C234" s="6" t="s">
        <v>160</v>
      </c>
      <c r="D234" s="6" t="s">
        <v>48</v>
      </c>
      <c r="E234" s="6" t="s">
        <v>49</v>
      </c>
      <c r="F234" s="6" t="s">
        <v>55</v>
      </c>
      <c r="G234" s="6" t="s">
        <v>7</v>
      </c>
      <c r="H234" s="6" t="s">
        <v>51</v>
      </c>
      <c r="I234" s="6" t="s">
        <v>52</v>
      </c>
      <c r="J234" s="6" t="s">
        <v>51</v>
      </c>
      <c r="K234" s="6" t="s">
        <v>51</v>
      </c>
      <c r="L234" s="6"/>
      <c r="M234" s="5" t="s">
        <v>59</v>
      </c>
      <c r="N234" s="5" t="s">
        <v>59</v>
      </c>
      <c r="O234" s="6" t="s">
        <v>54</v>
      </c>
    </row>
    <row r="235" spans="1:15" x14ac:dyDescent="0.35">
      <c r="A235" s="5" t="s">
        <v>843</v>
      </c>
      <c r="B235" s="6" t="s">
        <v>720</v>
      </c>
      <c r="C235" s="6" t="s">
        <v>356</v>
      </c>
      <c r="D235" s="7" t="s">
        <v>48</v>
      </c>
      <c r="E235" s="7" t="s">
        <v>49</v>
      </c>
      <c r="F235" s="7" t="s">
        <v>50</v>
      </c>
      <c r="G235" s="7" t="s">
        <v>5</v>
      </c>
      <c r="H235" s="7" t="s">
        <v>51</v>
      </c>
      <c r="I235" s="7" t="s">
        <v>52</v>
      </c>
      <c r="J235" s="7" t="s">
        <v>51</v>
      </c>
      <c r="K235" s="7" t="s">
        <v>51</v>
      </c>
      <c r="L235" s="7"/>
      <c r="M235" s="5" t="s">
        <v>67</v>
      </c>
      <c r="N235" s="5" t="s">
        <v>67</v>
      </c>
      <c r="O235" s="7" t="s">
        <v>54</v>
      </c>
    </row>
    <row r="236" spans="1:15" x14ac:dyDescent="0.35">
      <c r="A236" s="5" t="s">
        <v>876</v>
      </c>
      <c r="B236" s="6" t="s">
        <v>549</v>
      </c>
      <c r="C236" s="6" t="s">
        <v>185</v>
      </c>
      <c r="D236" s="7" t="s">
        <v>48</v>
      </c>
      <c r="E236" s="7" t="s">
        <v>49</v>
      </c>
      <c r="F236" s="7" t="s">
        <v>55</v>
      </c>
      <c r="G236" s="7" t="s">
        <v>5</v>
      </c>
      <c r="H236" s="7" t="s">
        <v>52</v>
      </c>
      <c r="I236" s="7" t="s">
        <v>52</v>
      </c>
      <c r="J236" s="7"/>
      <c r="K236" s="7"/>
      <c r="L236" s="7"/>
      <c r="M236" s="5" t="s">
        <v>63</v>
      </c>
      <c r="N236" s="5" t="s">
        <v>63</v>
      </c>
      <c r="O236" s="7" t="s">
        <v>54</v>
      </c>
    </row>
    <row r="237" spans="1:15" x14ac:dyDescent="0.35">
      <c r="A237" s="5" t="s">
        <v>850</v>
      </c>
      <c r="B237" s="7" t="s">
        <v>523</v>
      </c>
      <c r="C237" s="7" t="s">
        <v>159</v>
      </c>
      <c r="D237" s="7" t="s">
        <v>48</v>
      </c>
      <c r="E237" s="7" t="s">
        <v>49</v>
      </c>
      <c r="F237" s="7" t="s">
        <v>50</v>
      </c>
      <c r="G237" s="7" t="s">
        <v>26</v>
      </c>
      <c r="H237" s="7" t="s">
        <v>51</v>
      </c>
      <c r="I237" s="7" t="s">
        <v>52</v>
      </c>
      <c r="J237" s="7"/>
      <c r="K237" s="7"/>
      <c r="L237" s="7"/>
      <c r="M237" s="5" t="s">
        <v>57</v>
      </c>
      <c r="N237" s="5" t="s">
        <v>57</v>
      </c>
      <c r="O237" s="7" t="s">
        <v>54</v>
      </c>
    </row>
    <row r="238" spans="1:15" x14ac:dyDescent="0.35">
      <c r="A238" s="5" t="s">
        <v>877</v>
      </c>
      <c r="B238" s="6" t="s">
        <v>542</v>
      </c>
      <c r="C238" s="6" t="s">
        <v>178</v>
      </c>
      <c r="D238" s="6" t="s">
        <v>48</v>
      </c>
      <c r="E238" s="6" t="s">
        <v>49</v>
      </c>
      <c r="F238" s="6" t="s">
        <v>50</v>
      </c>
      <c r="G238" s="6" t="s">
        <v>10</v>
      </c>
      <c r="H238" s="6" t="s">
        <v>52</v>
      </c>
      <c r="I238" s="6" t="s">
        <v>60</v>
      </c>
      <c r="J238" s="6"/>
      <c r="K238" s="6"/>
      <c r="L238" s="6"/>
      <c r="M238" s="5" t="s">
        <v>63</v>
      </c>
      <c r="N238" s="5" t="s">
        <v>63</v>
      </c>
      <c r="O238" s="6" t="s">
        <v>54</v>
      </c>
    </row>
    <row r="239" spans="1:15" x14ac:dyDescent="0.35">
      <c r="A239" s="5" t="s">
        <v>845</v>
      </c>
      <c r="B239" s="6" t="s">
        <v>603</v>
      </c>
      <c r="C239" s="6" t="s">
        <v>239</v>
      </c>
      <c r="D239" s="6" t="s">
        <v>48</v>
      </c>
      <c r="E239" s="6" t="s">
        <v>49</v>
      </c>
      <c r="F239" s="6" t="s">
        <v>55</v>
      </c>
      <c r="G239" s="6" t="s">
        <v>10</v>
      </c>
      <c r="H239" s="6" t="s">
        <v>52</v>
      </c>
      <c r="I239" s="6" t="s">
        <v>52</v>
      </c>
      <c r="J239" s="6"/>
      <c r="K239" s="6"/>
      <c r="L239" s="6"/>
      <c r="M239" s="5" t="s">
        <v>57</v>
      </c>
      <c r="N239" s="5" t="s">
        <v>57</v>
      </c>
      <c r="O239" s="6" t="s">
        <v>54</v>
      </c>
    </row>
    <row r="240" spans="1:15" x14ac:dyDescent="0.35">
      <c r="A240" s="5" t="s">
        <v>873</v>
      </c>
      <c r="B240" s="7" t="s">
        <v>520</v>
      </c>
      <c r="C240" s="7" t="s">
        <v>156</v>
      </c>
      <c r="D240" s="6" t="s">
        <v>48</v>
      </c>
      <c r="E240" s="6" t="s">
        <v>49</v>
      </c>
      <c r="F240" s="6" t="s">
        <v>50</v>
      </c>
      <c r="G240" s="6" t="s">
        <v>26</v>
      </c>
      <c r="H240" s="6" t="s">
        <v>52</v>
      </c>
      <c r="I240" s="6" t="s">
        <v>64</v>
      </c>
      <c r="J240" s="6" t="s">
        <v>51</v>
      </c>
      <c r="K240" s="6"/>
      <c r="L240" s="6"/>
      <c r="M240" s="5" t="s">
        <v>57</v>
      </c>
      <c r="N240" s="5" t="s">
        <v>57</v>
      </c>
      <c r="O240" s="6" t="s">
        <v>54</v>
      </c>
    </row>
    <row r="241" spans="1:15" x14ac:dyDescent="0.35">
      <c r="A241" s="5" t="s">
        <v>834</v>
      </c>
      <c r="B241" s="7" t="s">
        <v>466</v>
      </c>
      <c r="C241" s="7" t="s">
        <v>102</v>
      </c>
      <c r="D241" s="7" t="s">
        <v>48</v>
      </c>
      <c r="E241" s="7" t="s">
        <v>49</v>
      </c>
      <c r="F241" s="7" t="s">
        <v>55</v>
      </c>
      <c r="G241" s="7" t="s">
        <v>18</v>
      </c>
      <c r="H241" s="7" t="s">
        <v>51</v>
      </c>
      <c r="I241" s="7" t="s">
        <v>52</v>
      </c>
      <c r="J241" s="7"/>
      <c r="K241" s="7"/>
      <c r="L241" s="7"/>
      <c r="M241" s="5" t="s">
        <v>56</v>
      </c>
      <c r="N241" s="5" t="s">
        <v>56</v>
      </c>
      <c r="O241" s="7" t="s">
        <v>54</v>
      </c>
    </row>
    <row r="242" spans="1:15" x14ac:dyDescent="0.35">
      <c r="A242" s="5" t="s">
        <v>881</v>
      </c>
      <c r="B242" s="6" t="s">
        <v>719</v>
      </c>
      <c r="C242" s="6" t="s">
        <v>355</v>
      </c>
      <c r="D242" s="6" t="s">
        <v>48</v>
      </c>
      <c r="E242" s="6" t="s">
        <v>49</v>
      </c>
      <c r="F242" s="6" t="s">
        <v>50</v>
      </c>
      <c r="G242" s="6" t="s">
        <v>5</v>
      </c>
      <c r="H242" s="6" t="s">
        <v>52</v>
      </c>
      <c r="I242" s="6" t="s">
        <v>60</v>
      </c>
      <c r="J242" s="6" t="s">
        <v>51</v>
      </c>
      <c r="K242" s="6"/>
      <c r="L242" s="6"/>
      <c r="M242" s="5" t="s">
        <v>67</v>
      </c>
      <c r="N242" s="5" t="s">
        <v>67</v>
      </c>
      <c r="O242" s="6" t="s">
        <v>54</v>
      </c>
    </row>
    <row r="243" spans="1:15" x14ac:dyDescent="0.35">
      <c r="A243" s="5" t="s">
        <v>893</v>
      </c>
      <c r="B243" s="7" t="s">
        <v>787</v>
      </c>
      <c r="C243" s="7" t="s">
        <v>423</v>
      </c>
      <c r="D243" s="7" t="s">
        <v>48</v>
      </c>
      <c r="E243" s="7" t="s">
        <v>49</v>
      </c>
      <c r="F243" s="7" t="s">
        <v>55</v>
      </c>
      <c r="G243" s="7" t="s">
        <v>8</v>
      </c>
      <c r="H243" s="7" t="s">
        <v>52</v>
      </c>
      <c r="I243" s="7" t="s">
        <v>52</v>
      </c>
      <c r="J243" s="7" t="s">
        <v>51</v>
      </c>
      <c r="K243" s="7"/>
      <c r="L243" s="7"/>
      <c r="M243" s="5" t="s">
        <v>67</v>
      </c>
      <c r="N243" s="5" t="s">
        <v>67</v>
      </c>
      <c r="O243" s="7" t="s">
        <v>54</v>
      </c>
    </row>
    <row r="244" spans="1:15" x14ac:dyDescent="0.35">
      <c r="A244" s="5" t="s">
        <v>864</v>
      </c>
      <c r="B244" s="6" t="s">
        <v>617</v>
      </c>
      <c r="C244" s="6" t="s">
        <v>253</v>
      </c>
      <c r="D244" s="6" t="s">
        <v>48</v>
      </c>
      <c r="E244" s="6" t="s">
        <v>49</v>
      </c>
      <c r="F244" s="6" t="s">
        <v>50</v>
      </c>
      <c r="G244" s="6" t="s">
        <v>26</v>
      </c>
      <c r="H244" s="6" t="s">
        <v>51</v>
      </c>
      <c r="I244" s="6" t="s">
        <v>52</v>
      </c>
      <c r="J244" s="6" t="s">
        <v>51</v>
      </c>
      <c r="K244" s="6" t="s">
        <v>51</v>
      </c>
      <c r="L244" s="6"/>
      <c r="M244" s="5" t="s">
        <v>57</v>
      </c>
      <c r="N244" s="5" t="s">
        <v>57</v>
      </c>
      <c r="O244" s="6" t="s">
        <v>54</v>
      </c>
    </row>
    <row r="245" spans="1:15" x14ac:dyDescent="0.35">
      <c r="A245" s="5" t="s">
        <v>881</v>
      </c>
      <c r="B245" s="6" t="s">
        <v>702</v>
      </c>
      <c r="C245" s="6" t="s">
        <v>338</v>
      </c>
      <c r="D245" s="6" t="s">
        <v>48</v>
      </c>
      <c r="E245" s="6" t="s">
        <v>49</v>
      </c>
      <c r="F245" s="6" t="s">
        <v>50</v>
      </c>
      <c r="G245" s="6" t="s">
        <v>26</v>
      </c>
      <c r="H245" s="6" t="s">
        <v>52</v>
      </c>
      <c r="I245" s="6" t="s">
        <v>64</v>
      </c>
      <c r="J245" s="6"/>
      <c r="K245" s="6"/>
      <c r="L245" s="6"/>
      <c r="M245" s="5" t="s">
        <v>67</v>
      </c>
      <c r="N245" s="5" t="s">
        <v>67</v>
      </c>
      <c r="O245" s="6" t="s">
        <v>54</v>
      </c>
    </row>
    <row r="246" spans="1:15" x14ac:dyDescent="0.35">
      <c r="A246" s="5" t="s">
        <v>922</v>
      </c>
      <c r="B246" s="6" t="s">
        <v>533</v>
      </c>
      <c r="C246" s="6" t="s">
        <v>169</v>
      </c>
      <c r="D246" s="7" t="s">
        <v>48</v>
      </c>
      <c r="E246" s="7" t="s">
        <v>49</v>
      </c>
      <c r="F246" s="7" t="s">
        <v>50</v>
      </c>
      <c r="G246" s="7" t="s">
        <v>0</v>
      </c>
      <c r="H246" s="7" t="s">
        <v>52</v>
      </c>
      <c r="I246" s="7" t="s">
        <v>52</v>
      </c>
      <c r="J246" s="7" t="s">
        <v>51</v>
      </c>
      <c r="K246" s="7" t="s">
        <v>51</v>
      </c>
      <c r="L246" s="7"/>
      <c r="M246" s="5" t="s">
        <v>71</v>
      </c>
      <c r="N246" s="5" t="s">
        <v>71</v>
      </c>
      <c r="O246" s="7" t="s">
        <v>54</v>
      </c>
    </row>
    <row r="247" spans="1:15" x14ac:dyDescent="0.35">
      <c r="A247" s="5" t="s">
        <v>923</v>
      </c>
      <c r="B247" s="6" t="s">
        <v>824</v>
      </c>
      <c r="C247" s="6" t="s">
        <v>460</v>
      </c>
      <c r="D247" s="6" t="s">
        <v>48</v>
      </c>
      <c r="E247" s="6" t="s">
        <v>49</v>
      </c>
      <c r="F247" s="6" t="s">
        <v>55</v>
      </c>
      <c r="G247" s="6" t="s">
        <v>26</v>
      </c>
      <c r="H247" s="6" t="s">
        <v>52</v>
      </c>
      <c r="I247" s="6" t="s">
        <v>52</v>
      </c>
      <c r="J247" s="6" t="s">
        <v>51</v>
      </c>
      <c r="K247" s="6" t="s">
        <v>51</v>
      </c>
      <c r="L247" s="6"/>
      <c r="M247" s="5" t="s">
        <v>53</v>
      </c>
      <c r="N247" s="5" t="s">
        <v>53</v>
      </c>
      <c r="O247" s="6" t="s">
        <v>54</v>
      </c>
    </row>
    <row r="248" spans="1:15" x14ac:dyDescent="0.35">
      <c r="A248" s="5" t="s">
        <v>924</v>
      </c>
      <c r="B248" s="7" t="s">
        <v>775</v>
      </c>
      <c r="C248" s="7" t="s">
        <v>411</v>
      </c>
      <c r="D248" s="6" t="s">
        <v>48</v>
      </c>
      <c r="E248" s="6" t="s">
        <v>49</v>
      </c>
      <c r="F248" s="6" t="s">
        <v>50</v>
      </c>
      <c r="G248" s="6" t="s">
        <v>5</v>
      </c>
      <c r="H248" s="6" t="s">
        <v>52</v>
      </c>
      <c r="I248" s="6" t="s">
        <v>52</v>
      </c>
      <c r="J248" s="6" t="s">
        <v>51</v>
      </c>
      <c r="K248" s="6" t="s">
        <v>51</v>
      </c>
      <c r="L248" s="6"/>
      <c r="M248" s="5" t="s">
        <v>84</v>
      </c>
      <c r="N248" s="5" t="s">
        <v>84</v>
      </c>
      <c r="O248" s="6" t="s">
        <v>54</v>
      </c>
    </row>
    <row r="249" spans="1:15" x14ac:dyDescent="0.35">
      <c r="A249" s="5" t="s">
        <v>836</v>
      </c>
      <c r="B249" s="6" t="s">
        <v>684</v>
      </c>
      <c r="C249" s="6" t="s">
        <v>320</v>
      </c>
      <c r="D249" s="7" t="s">
        <v>48</v>
      </c>
      <c r="E249" s="7" t="s">
        <v>49</v>
      </c>
      <c r="F249" s="7" t="s">
        <v>50</v>
      </c>
      <c r="G249" s="7" t="s">
        <v>9</v>
      </c>
      <c r="H249" s="7" t="s">
        <v>52</v>
      </c>
      <c r="I249" s="7" t="s">
        <v>60</v>
      </c>
      <c r="J249" s="7" t="s">
        <v>51</v>
      </c>
      <c r="K249" s="7" t="s">
        <v>51</v>
      </c>
      <c r="L249" s="7"/>
      <c r="M249" s="5" t="s">
        <v>63</v>
      </c>
      <c r="N249" s="5" t="s">
        <v>63</v>
      </c>
      <c r="O249" s="6" t="s">
        <v>54</v>
      </c>
    </row>
    <row r="250" spans="1:15" x14ac:dyDescent="0.35">
      <c r="A250" s="5" t="s">
        <v>875</v>
      </c>
      <c r="B250" s="7" t="s">
        <v>673</v>
      </c>
      <c r="C250" s="7" t="s">
        <v>309</v>
      </c>
      <c r="D250" s="6" t="s">
        <v>48</v>
      </c>
      <c r="E250" s="6" t="s">
        <v>49</v>
      </c>
      <c r="F250" s="6" t="s">
        <v>50</v>
      </c>
      <c r="G250" s="6" t="s">
        <v>5</v>
      </c>
      <c r="H250" s="6" t="s">
        <v>52</v>
      </c>
      <c r="I250" s="6" t="s">
        <v>52</v>
      </c>
      <c r="J250" s="6"/>
      <c r="K250" s="6"/>
      <c r="L250" s="6"/>
      <c r="M250" s="5" t="s">
        <v>67</v>
      </c>
      <c r="N250" s="5" t="s">
        <v>67</v>
      </c>
      <c r="O250" s="6" t="s">
        <v>54</v>
      </c>
    </row>
    <row r="251" spans="1:15" x14ac:dyDescent="0.35">
      <c r="A251" s="5" t="s">
        <v>843</v>
      </c>
      <c r="B251" s="6" t="s">
        <v>686</v>
      </c>
      <c r="C251" s="6" t="s">
        <v>322</v>
      </c>
      <c r="D251" s="6" t="s">
        <v>48</v>
      </c>
      <c r="E251" s="6" t="s">
        <v>49</v>
      </c>
      <c r="F251" s="6" t="s">
        <v>50</v>
      </c>
      <c r="G251" s="6" t="s">
        <v>29</v>
      </c>
      <c r="H251" s="6" t="s">
        <v>52</v>
      </c>
      <c r="I251" s="6" t="s">
        <v>52</v>
      </c>
      <c r="J251" s="6"/>
      <c r="K251" s="6"/>
      <c r="L251" s="6"/>
      <c r="M251" s="5" t="s">
        <v>67</v>
      </c>
      <c r="N251" s="5" t="s">
        <v>67</v>
      </c>
      <c r="O251" s="6" t="s">
        <v>54</v>
      </c>
    </row>
    <row r="252" spans="1:15" x14ac:dyDescent="0.35">
      <c r="A252" s="5" t="s">
        <v>925</v>
      </c>
      <c r="B252" s="6" t="s">
        <v>650</v>
      </c>
      <c r="C252" s="6" t="s">
        <v>286</v>
      </c>
      <c r="D252" s="6" t="s">
        <v>48</v>
      </c>
      <c r="E252" s="6" t="s">
        <v>49</v>
      </c>
      <c r="F252" s="6" t="s">
        <v>55</v>
      </c>
      <c r="G252" s="6" t="s">
        <v>9</v>
      </c>
      <c r="H252" s="6" t="s">
        <v>52</v>
      </c>
      <c r="I252" s="6" t="s">
        <v>60</v>
      </c>
      <c r="J252" s="6"/>
      <c r="K252" s="6"/>
      <c r="L252" s="6"/>
      <c r="M252" s="5" t="s">
        <v>71</v>
      </c>
      <c r="N252" s="5" t="s">
        <v>71</v>
      </c>
      <c r="O252" s="6" t="s">
        <v>54</v>
      </c>
    </row>
    <row r="253" spans="1:15" x14ac:dyDescent="0.35">
      <c r="A253" s="5" t="s">
        <v>924</v>
      </c>
      <c r="B253" s="6" t="s">
        <v>608</v>
      </c>
      <c r="C253" s="6" t="s">
        <v>244</v>
      </c>
      <c r="D253" s="7" t="s">
        <v>48</v>
      </c>
      <c r="E253" s="7" t="s">
        <v>49</v>
      </c>
      <c r="F253" s="7" t="s">
        <v>50</v>
      </c>
      <c r="G253" s="7" t="s">
        <v>26</v>
      </c>
      <c r="H253" s="7" t="s">
        <v>51</v>
      </c>
      <c r="I253" s="7" t="s">
        <v>52</v>
      </c>
      <c r="J253" s="7" t="s">
        <v>51</v>
      </c>
      <c r="K253" s="7"/>
      <c r="L253" s="7"/>
      <c r="M253" s="5" t="s">
        <v>84</v>
      </c>
      <c r="N253" s="5" t="s">
        <v>84</v>
      </c>
      <c r="O253" s="7" t="s">
        <v>54</v>
      </c>
    </row>
    <row r="254" spans="1:15" x14ac:dyDescent="0.35">
      <c r="A254" s="5" t="s">
        <v>869</v>
      </c>
      <c r="B254" s="6" t="s">
        <v>497</v>
      </c>
      <c r="C254" s="6" t="s">
        <v>133</v>
      </c>
      <c r="D254" s="6" t="s">
        <v>48</v>
      </c>
      <c r="E254" s="6" t="s">
        <v>49</v>
      </c>
      <c r="F254" s="6" t="s">
        <v>55</v>
      </c>
      <c r="G254" s="6" t="s">
        <v>5</v>
      </c>
      <c r="H254" s="6" t="s">
        <v>52</v>
      </c>
      <c r="I254" s="6" t="s">
        <v>52</v>
      </c>
      <c r="J254" s="6" t="s">
        <v>51</v>
      </c>
      <c r="K254" s="6" t="s">
        <v>51</v>
      </c>
      <c r="L254" s="6"/>
      <c r="M254" s="5" t="s">
        <v>66</v>
      </c>
      <c r="N254" s="5" t="s">
        <v>66</v>
      </c>
      <c r="O254" s="6" t="s">
        <v>54</v>
      </c>
    </row>
    <row r="255" spans="1:15" x14ac:dyDescent="0.35">
      <c r="A255" s="5" t="s">
        <v>829</v>
      </c>
      <c r="B255" s="7" t="s">
        <v>511</v>
      </c>
      <c r="C255" s="7" t="s">
        <v>147</v>
      </c>
      <c r="D255" s="6" t="s">
        <v>48</v>
      </c>
      <c r="E255" s="6" t="s">
        <v>49</v>
      </c>
      <c r="F255" s="6" t="s">
        <v>55</v>
      </c>
      <c r="G255" s="6" t="s">
        <v>14</v>
      </c>
      <c r="H255" s="6" t="s">
        <v>52</v>
      </c>
      <c r="I255" s="6" t="s">
        <v>52</v>
      </c>
      <c r="J255" s="6"/>
      <c r="K255" s="6"/>
      <c r="L255" s="6"/>
      <c r="M255" s="5" t="s">
        <v>56</v>
      </c>
      <c r="N255" s="5" t="s">
        <v>56</v>
      </c>
      <c r="O255" s="6" t="s">
        <v>54</v>
      </c>
    </row>
    <row r="256" spans="1:15" x14ac:dyDescent="0.35">
      <c r="A256" s="5" t="s">
        <v>904</v>
      </c>
      <c r="B256" s="7" t="s">
        <v>532</v>
      </c>
      <c r="C256" s="7" t="s">
        <v>168</v>
      </c>
      <c r="D256" s="6" t="s">
        <v>48</v>
      </c>
      <c r="E256" s="6" t="s">
        <v>49</v>
      </c>
      <c r="F256" s="6" t="s">
        <v>55</v>
      </c>
      <c r="G256" s="6" t="s">
        <v>0</v>
      </c>
      <c r="H256" s="6" t="s">
        <v>52</v>
      </c>
      <c r="I256" s="6" t="s">
        <v>52</v>
      </c>
      <c r="J256" s="6"/>
      <c r="K256" s="6"/>
      <c r="L256" s="6"/>
      <c r="M256" s="5" t="s">
        <v>57</v>
      </c>
      <c r="N256" s="5" t="s">
        <v>57</v>
      </c>
      <c r="O256" s="6" t="s">
        <v>54</v>
      </c>
    </row>
    <row r="257" spans="1:15" x14ac:dyDescent="0.35">
      <c r="A257" s="5" t="s">
        <v>860</v>
      </c>
      <c r="B257" s="7" t="s">
        <v>646</v>
      </c>
      <c r="C257" s="7" t="s">
        <v>282</v>
      </c>
      <c r="D257" s="6" t="s">
        <v>48</v>
      </c>
      <c r="E257" s="6" t="s">
        <v>49</v>
      </c>
      <c r="F257" s="6" t="s">
        <v>55</v>
      </c>
      <c r="G257" s="6" t="s">
        <v>26</v>
      </c>
      <c r="H257" s="6" t="s">
        <v>52</v>
      </c>
      <c r="I257" s="6" t="s">
        <v>52</v>
      </c>
      <c r="J257" s="6"/>
      <c r="K257" s="6"/>
      <c r="L257" s="6"/>
      <c r="M257" s="5" t="s">
        <v>63</v>
      </c>
      <c r="N257" s="5" t="s">
        <v>63</v>
      </c>
      <c r="O257" s="6" t="s">
        <v>54</v>
      </c>
    </row>
    <row r="258" spans="1:15" x14ac:dyDescent="0.35">
      <c r="A258" s="5" t="s">
        <v>881</v>
      </c>
      <c r="B258" s="6" t="s">
        <v>636</v>
      </c>
      <c r="C258" s="6" t="s">
        <v>272</v>
      </c>
      <c r="D258" s="6" t="s">
        <v>48</v>
      </c>
      <c r="E258" s="6" t="s">
        <v>49</v>
      </c>
      <c r="F258" s="6" t="s">
        <v>50</v>
      </c>
      <c r="G258" s="6" t="s">
        <v>9</v>
      </c>
      <c r="H258" s="6" t="s">
        <v>52</v>
      </c>
      <c r="I258" s="6" t="s">
        <v>52</v>
      </c>
      <c r="J258" s="6" t="s">
        <v>51</v>
      </c>
      <c r="K258" s="6"/>
      <c r="L258" s="6"/>
      <c r="M258" s="5" t="s">
        <v>67</v>
      </c>
      <c r="N258" s="5" t="s">
        <v>67</v>
      </c>
      <c r="O258" s="6" t="s">
        <v>54</v>
      </c>
    </row>
    <row r="259" spans="1:15" x14ac:dyDescent="0.35">
      <c r="A259" s="5" t="s">
        <v>844</v>
      </c>
      <c r="B259" s="6" t="s">
        <v>773</v>
      </c>
      <c r="C259" s="6" t="s">
        <v>409</v>
      </c>
      <c r="D259" s="6" t="s">
        <v>48</v>
      </c>
      <c r="E259" s="6" t="s">
        <v>49</v>
      </c>
      <c r="F259" s="6" t="s">
        <v>50</v>
      </c>
      <c r="G259" s="6" t="s">
        <v>13</v>
      </c>
      <c r="H259" s="6" t="s">
        <v>52</v>
      </c>
      <c r="I259" s="6" t="s">
        <v>52</v>
      </c>
      <c r="J259" s="6"/>
      <c r="K259" s="6"/>
      <c r="L259" s="6"/>
      <c r="M259" s="5" t="s">
        <v>63</v>
      </c>
      <c r="N259" s="5" t="s">
        <v>63</v>
      </c>
      <c r="O259" s="6" t="s">
        <v>54</v>
      </c>
    </row>
    <row r="260" spans="1:15" x14ac:dyDescent="0.35">
      <c r="A260" s="5" t="s">
        <v>839</v>
      </c>
      <c r="B260" s="6" t="s">
        <v>516</v>
      </c>
      <c r="C260" s="6" t="s">
        <v>152</v>
      </c>
      <c r="D260" s="6" t="s">
        <v>48</v>
      </c>
      <c r="E260" s="6" t="s">
        <v>49</v>
      </c>
      <c r="F260" s="6" t="s">
        <v>55</v>
      </c>
      <c r="G260" s="6" t="s">
        <v>5</v>
      </c>
      <c r="H260" s="6" t="s">
        <v>52</v>
      </c>
      <c r="I260" s="6" t="s">
        <v>60</v>
      </c>
      <c r="J260" s="6"/>
      <c r="K260" s="6"/>
      <c r="L260" s="6"/>
      <c r="M260" s="5" t="s">
        <v>59</v>
      </c>
      <c r="N260" s="5" t="s">
        <v>59</v>
      </c>
      <c r="O260" s="6" t="s">
        <v>54</v>
      </c>
    </row>
    <row r="261" spans="1:15" x14ac:dyDescent="0.35">
      <c r="A261" s="5" t="s">
        <v>877</v>
      </c>
      <c r="B261" s="6" t="s">
        <v>746</v>
      </c>
      <c r="C261" s="6" t="s">
        <v>382</v>
      </c>
      <c r="D261" s="7" t="s">
        <v>48</v>
      </c>
      <c r="E261" s="7" t="s">
        <v>49</v>
      </c>
      <c r="F261" s="7" t="s">
        <v>50</v>
      </c>
      <c r="G261" s="7" t="s">
        <v>5</v>
      </c>
      <c r="H261" s="7" t="s">
        <v>52</v>
      </c>
      <c r="I261" s="7" t="s">
        <v>52</v>
      </c>
      <c r="J261" s="7"/>
      <c r="K261" s="7"/>
      <c r="L261" s="7"/>
      <c r="M261" s="5" t="s">
        <v>63</v>
      </c>
      <c r="N261" s="5" t="s">
        <v>63</v>
      </c>
      <c r="O261" s="7" t="s">
        <v>54</v>
      </c>
    </row>
    <row r="262" spans="1:15" x14ac:dyDescent="0.35">
      <c r="A262" s="5" t="s">
        <v>843</v>
      </c>
      <c r="B262" s="7" t="s">
        <v>613</v>
      </c>
      <c r="C262" s="7" t="s">
        <v>249</v>
      </c>
      <c r="D262" s="6" t="s">
        <v>48</v>
      </c>
      <c r="E262" s="6" t="s">
        <v>49</v>
      </c>
      <c r="F262" s="6" t="s">
        <v>50</v>
      </c>
      <c r="G262" s="6" t="s">
        <v>9</v>
      </c>
      <c r="H262" s="6" t="s">
        <v>52</v>
      </c>
      <c r="I262" s="6" t="s">
        <v>60</v>
      </c>
      <c r="J262" s="6"/>
      <c r="K262" s="6"/>
      <c r="L262" s="6"/>
      <c r="M262" s="5" t="s">
        <v>67</v>
      </c>
      <c r="N262" s="5" t="s">
        <v>67</v>
      </c>
      <c r="O262" s="6" t="s">
        <v>54</v>
      </c>
    </row>
    <row r="263" spans="1:15" x14ac:dyDescent="0.35">
      <c r="A263" s="5" t="s">
        <v>919</v>
      </c>
      <c r="B263" s="6" t="s">
        <v>810</v>
      </c>
      <c r="C263" s="6" t="s">
        <v>446</v>
      </c>
      <c r="D263" s="6" t="s">
        <v>48</v>
      </c>
      <c r="E263" s="6" t="s">
        <v>49</v>
      </c>
      <c r="F263" s="6" t="s">
        <v>50</v>
      </c>
      <c r="G263" s="6" t="s">
        <v>26</v>
      </c>
      <c r="H263" s="6" t="s">
        <v>52</v>
      </c>
      <c r="I263" s="6" t="s">
        <v>52</v>
      </c>
      <c r="J263" s="6"/>
      <c r="K263" s="6"/>
      <c r="L263" s="6"/>
      <c r="M263" s="5" t="s">
        <v>59</v>
      </c>
      <c r="N263" s="5" t="s">
        <v>59</v>
      </c>
      <c r="O263" s="6" t="s">
        <v>54</v>
      </c>
    </row>
    <row r="264" spans="1:15" x14ac:dyDescent="0.35">
      <c r="A264" s="5" t="s">
        <v>857</v>
      </c>
      <c r="B264" s="7" t="s">
        <v>631</v>
      </c>
      <c r="C264" s="7" t="s">
        <v>267</v>
      </c>
      <c r="D264" s="7" t="s">
        <v>48</v>
      </c>
      <c r="E264" s="7" t="s">
        <v>49</v>
      </c>
      <c r="F264" s="7" t="s">
        <v>50</v>
      </c>
      <c r="G264" s="7" t="s">
        <v>13</v>
      </c>
      <c r="H264" s="7" t="s">
        <v>52</v>
      </c>
      <c r="I264" s="7" t="s">
        <v>60</v>
      </c>
      <c r="J264" s="7" t="s">
        <v>51</v>
      </c>
      <c r="K264" s="7"/>
      <c r="L264" s="7"/>
      <c r="M264" s="5" t="s">
        <v>67</v>
      </c>
      <c r="N264" s="5" t="s">
        <v>67</v>
      </c>
      <c r="O264" s="7" t="s">
        <v>54</v>
      </c>
    </row>
    <row r="265" spans="1:15" x14ac:dyDescent="0.35">
      <c r="A265" s="5" t="s">
        <v>883</v>
      </c>
      <c r="B265" s="6" t="s">
        <v>536</v>
      </c>
      <c r="C265" s="6" t="s">
        <v>172</v>
      </c>
      <c r="D265" s="6" t="s">
        <v>48</v>
      </c>
      <c r="E265" s="6" t="s">
        <v>49</v>
      </c>
      <c r="F265" s="6" t="s">
        <v>50</v>
      </c>
      <c r="G265" s="6" t="s">
        <v>9</v>
      </c>
      <c r="H265" s="6" t="s">
        <v>52</v>
      </c>
      <c r="I265" s="6" t="s">
        <v>52</v>
      </c>
      <c r="J265" s="6"/>
      <c r="K265" s="6"/>
      <c r="L265" s="6"/>
      <c r="M265" s="5" t="s">
        <v>66</v>
      </c>
      <c r="N265" s="5" t="s">
        <v>66</v>
      </c>
      <c r="O265" s="6" t="s">
        <v>54</v>
      </c>
    </row>
    <row r="266" spans="1:15" x14ac:dyDescent="0.35">
      <c r="A266" s="5" t="s">
        <v>862</v>
      </c>
      <c r="B266" s="6" t="s">
        <v>701</v>
      </c>
      <c r="C266" s="6" t="s">
        <v>337</v>
      </c>
      <c r="D266" s="7" t="s">
        <v>48</v>
      </c>
      <c r="E266" s="7" t="s">
        <v>49</v>
      </c>
      <c r="F266" s="7" t="s">
        <v>55</v>
      </c>
      <c r="G266" s="7" t="s">
        <v>18</v>
      </c>
      <c r="H266" s="7" t="s">
        <v>52</v>
      </c>
      <c r="I266" s="7" t="s">
        <v>60</v>
      </c>
      <c r="J266" s="7"/>
      <c r="K266" s="7"/>
      <c r="L266" s="7"/>
      <c r="M266" s="5" t="s">
        <v>67</v>
      </c>
      <c r="N266" s="5" t="s">
        <v>67</v>
      </c>
      <c r="O266" s="7" t="s">
        <v>54</v>
      </c>
    </row>
    <row r="267" spans="1:15" x14ac:dyDescent="0.35">
      <c r="A267" s="5" t="s">
        <v>844</v>
      </c>
      <c r="B267" s="6" t="s">
        <v>519</v>
      </c>
      <c r="C267" s="6" t="s">
        <v>155</v>
      </c>
      <c r="D267" s="7" t="s">
        <v>48</v>
      </c>
      <c r="E267" s="7" t="s">
        <v>49</v>
      </c>
      <c r="F267" s="7" t="s">
        <v>50</v>
      </c>
      <c r="G267" s="7" t="s">
        <v>5</v>
      </c>
      <c r="H267" s="7" t="s">
        <v>52</v>
      </c>
      <c r="I267" s="7" t="s">
        <v>52</v>
      </c>
      <c r="J267" s="7" t="s">
        <v>51</v>
      </c>
      <c r="K267" s="7" t="s">
        <v>51</v>
      </c>
      <c r="L267" s="7"/>
      <c r="M267" s="5" t="s">
        <v>63</v>
      </c>
      <c r="N267" s="5" t="s">
        <v>63</v>
      </c>
      <c r="O267" s="7" t="s">
        <v>54</v>
      </c>
    </row>
    <row r="268" spans="1:15" x14ac:dyDescent="0.35">
      <c r="A268" s="5" t="s">
        <v>841</v>
      </c>
      <c r="B268" s="7" t="s">
        <v>568</v>
      </c>
      <c r="C268" s="7" t="s">
        <v>204</v>
      </c>
      <c r="D268" s="6" t="s">
        <v>48</v>
      </c>
      <c r="E268" s="6" t="s">
        <v>49</v>
      </c>
      <c r="F268" s="6" t="s">
        <v>50</v>
      </c>
      <c r="G268" s="6" t="s">
        <v>5</v>
      </c>
      <c r="H268" s="6" t="s">
        <v>52</v>
      </c>
      <c r="I268" s="6" t="s">
        <v>52</v>
      </c>
      <c r="J268" s="6"/>
      <c r="K268" s="6"/>
      <c r="L268" s="6"/>
      <c r="M268" s="5" t="s">
        <v>57</v>
      </c>
      <c r="N268" s="5" t="s">
        <v>57</v>
      </c>
      <c r="O268" s="6" t="s">
        <v>54</v>
      </c>
    </row>
    <row r="269" spans="1:15" x14ac:dyDescent="0.35">
      <c r="A269" s="5" t="s">
        <v>837</v>
      </c>
      <c r="B269" s="6" t="s">
        <v>798</v>
      </c>
      <c r="C269" s="6" t="s">
        <v>434</v>
      </c>
      <c r="D269" s="6" t="s">
        <v>48</v>
      </c>
      <c r="E269" s="6" t="s">
        <v>49</v>
      </c>
      <c r="F269" s="6" t="s">
        <v>55</v>
      </c>
      <c r="G269" s="6" t="s">
        <v>5</v>
      </c>
      <c r="H269" s="6" t="s">
        <v>52</v>
      </c>
      <c r="I269" s="6" t="s">
        <v>52</v>
      </c>
      <c r="J269" s="6"/>
      <c r="K269" s="6"/>
      <c r="L269" s="6"/>
      <c r="M269" s="5" t="s">
        <v>63</v>
      </c>
      <c r="N269" s="5" t="s">
        <v>63</v>
      </c>
      <c r="O269" s="6" t="s">
        <v>54</v>
      </c>
    </row>
    <row r="270" spans="1:15" x14ac:dyDescent="0.35">
      <c r="A270" s="5" t="s">
        <v>849</v>
      </c>
      <c r="B270" s="6" t="s">
        <v>470</v>
      </c>
      <c r="C270" s="6" t="s">
        <v>106</v>
      </c>
      <c r="D270" s="7" t="s">
        <v>48</v>
      </c>
      <c r="E270" s="7" t="s">
        <v>49</v>
      </c>
      <c r="F270" s="7" t="s">
        <v>55</v>
      </c>
      <c r="G270" s="7" t="s">
        <v>21</v>
      </c>
      <c r="H270" s="7" t="s">
        <v>52</v>
      </c>
      <c r="I270" s="7" t="s">
        <v>60</v>
      </c>
      <c r="J270" s="7"/>
      <c r="K270" s="7"/>
      <c r="L270" s="7"/>
      <c r="M270" s="5" t="s">
        <v>59</v>
      </c>
      <c r="N270" s="5" t="s">
        <v>59</v>
      </c>
      <c r="O270" s="7" t="s">
        <v>54</v>
      </c>
    </row>
    <row r="271" spans="1:15" x14ac:dyDescent="0.35">
      <c r="A271" s="5" t="s">
        <v>848</v>
      </c>
      <c r="B271" s="7" t="s">
        <v>727</v>
      </c>
      <c r="C271" s="7" t="s">
        <v>363</v>
      </c>
      <c r="D271" s="6" t="s">
        <v>48</v>
      </c>
      <c r="E271" s="6" t="s">
        <v>49</v>
      </c>
      <c r="F271" s="6" t="s">
        <v>50</v>
      </c>
      <c r="G271" s="6" t="s">
        <v>5</v>
      </c>
      <c r="H271" s="6" t="s">
        <v>52</v>
      </c>
      <c r="I271" s="6" t="s">
        <v>60</v>
      </c>
      <c r="J271" s="6"/>
      <c r="K271" s="6"/>
      <c r="L271" s="6"/>
      <c r="M271" s="5" t="s">
        <v>56</v>
      </c>
      <c r="N271" s="5" t="s">
        <v>56</v>
      </c>
      <c r="O271" s="6" t="s">
        <v>54</v>
      </c>
    </row>
    <row r="272" spans="1:15" x14ac:dyDescent="0.35">
      <c r="A272" s="5" t="s">
        <v>843</v>
      </c>
      <c r="B272" s="6" t="s">
        <v>641</v>
      </c>
      <c r="C272" s="6" t="s">
        <v>277</v>
      </c>
      <c r="D272" s="7" t="s">
        <v>48</v>
      </c>
      <c r="E272" s="7" t="s">
        <v>49</v>
      </c>
      <c r="F272" s="7" t="s">
        <v>50</v>
      </c>
      <c r="G272" s="7" t="s">
        <v>5</v>
      </c>
      <c r="H272" s="7" t="s">
        <v>52</v>
      </c>
      <c r="I272" s="7" t="s">
        <v>60</v>
      </c>
      <c r="J272" s="7"/>
      <c r="K272" s="7"/>
      <c r="L272" s="7"/>
      <c r="M272" s="5" t="s">
        <v>67</v>
      </c>
      <c r="N272" s="5" t="s">
        <v>67</v>
      </c>
      <c r="O272" s="7" t="s">
        <v>54</v>
      </c>
    </row>
    <row r="273" spans="1:15" x14ac:dyDescent="0.35">
      <c r="A273" s="5" t="s">
        <v>872</v>
      </c>
      <c r="B273" s="7" t="s">
        <v>490</v>
      </c>
      <c r="C273" s="7" t="s">
        <v>126</v>
      </c>
      <c r="D273" s="7" t="s">
        <v>48</v>
      </c>
      <c r="E273" s="7" t="s">
        <v>49</v>
      </c>
      <c r="F273" s="7" t="s">
        <v>55</v>
      </c>
      <c r="G273" s="7" t="s">
        <v>5</v>
      </c>
      <c r="H273" s="7" t="s">
        <v>52</v>
      </c>
      <c r="I273" s="7" t="s">
        <v>52</v>
      </c>
      <c r="J273" s="7" t="s">
        <v>51</v>
      </c>
      <c r="K273" s="7"/>
      <c r="L273" s="7"/>
      <c r="M273" s="5" t="s">
        <v>57</v>
      </c>
      <c r="N273" s="5" t="s">
        <v>57</v>
      </c>
      <c r="O273" s="7" t="s">
        <v>54</v>
      </c>
    </row>
    <row r="274" spans="1:15" x14ac:dyDescent="0.35">
      <c r="A274" s="5" t="s">
        <v>875</v>
      </c>
      <c r="B274" s="7" t="s">
        <v>598</v>
      </c>
      <c r="C274" s="7" t="s">
        <v>234</v>
      </c>
      <c r="D274" s="7" t="s">
        <v>48</v>
      </c>
      <c r="E274" s="7" t="s">
        <v>49</v>
      </c>
      <c r="F274" s="7" t="s">
        <v>50</v>
      </c>
      <c r="G274" s="7" t="s">
        <v>5</v>
      </c>
      <c r="H274" s="7" t="s">
        <v>52</v>
      </c>
      <c r="I274" s="7" t="s">
        <v>52</v>
      </c>
      <c r="J274" s="7"/>
      <c r="K274" s="7"/>
      <c r="L274" s="7"/>
      <c r="M274" s="5" t="s">
        <v>67</v>
      </c>
      <c r="N274" s="5" t="s">
        <v>67</v>
      </c>
      <c r="O274" s="7" t="s">
        <v>54</v>
      </c>
    </row>
    <row r="275" spans="1:15" x14ac:dyDescent="0.35">
      <c r="A275" s="5" t="s">
        <v>863</v>
      </c>
      <c r="B275" s="6" t="s">
        <v>645</v>
      </c>
      <c r="C275" s="6" t="s">
        <v>281</v>
      </c>
      <c r="D275" s="7" t="s">
        <v>48</v>
      </c>
      <c r="E275" s="7" t="s">
        <v>49</v>
      </c>
      <c r="F275" s="7" t="s">
        <v>50</v>
      </c>
      <c r="G275" s="7" t="s">
        <v>26</v>
      </c>
      <c r="H275" s="7" t="s">
        <v>51</v>
      </c>
      <c r="I275" s="7" t="s">
        <v>52</v>
      </c>
      <c r="J275" s="7"/>
      <c r="K275" s="7"/>
      <c r="L275" s="7"/>
      <c r="M275" s="5" t="s">
        <v>56</v>
      </c>
      <c r="N275" s="5" t="s">
        <v>56</v>
      </c>
      <c r="O275" s="7" t="s">
        <v>54</v>
      </c>
    </row>
    <row r="276" spans="1:15" x14ac:dyDescent="0.35">
      <c r="A276" s="5" t="s">
        <v>862</v>
      </c>
      <c r="B276" s="7" t="s">
        <v>586</v>
      </c>
      <c r="C276" s="7" t="s">
        <v>222</v>
      </c>
      <c r="D276" s="7" t="s">
        <v>48</v>
      </c>
      <c r="E276" s="7" t="s">
        <v>49</v>
      </c>
      <c r="F276" s="7" t="s">
        <v>55</v>
      </c>
      <c r="G276" s="7" t="s">
        <v>27</v>
      </c>
      <c r="H276" s="7" t="s">
        <v>52</v>
      </c>
      <c r="I276" s="7" t="s">
        <v>60</v>
      </c>
      <c r="J276" s="7"/>
      <c r="K276" s="7"/>
      <c r="L276" s="7"/>
      <c r="M276" s="5" t="s">
        <v>67</v>
      </c>
      <c r="N276" s="5" t="s">
        <v>67</v>
      </c>
      <c r="O276" s="7" t="s">
        <v>54</v>
      </c>
    </row>
    <row r="277" spans="1:15" x14ac:dyDescent="0.35">
      <c r="A277" s="5" t="s">
        <v>841</v>
      </c>
      <c r="B277" s="6" t="s">
        <v>693</v>
      </c>
      <c r="C277" s="6" t="s">
        <v>329</v>
      </c>
      <c r="D277" s="7" t="s">
        <v>48</v>
      </c>
      <c r="E277" s="7" t="s">
        <v>49</v>
      </c>
      <c r="F277" s="7" t="s">
        <v>50</v>
      </c>
      <c r="G277" s="7" t="s">
        <v>22</v>
      </c>
      <c r="H277" s="7" t="s">
        <v>52</v>
      </c>
      <c r="I277" s="7" t="s">
        <v>52</v>
      </c>
      <c r="J277" s="7"/>
      <c r="K277" s="7"/>
      <c r="L277" s="7"/>
      <c r="M277" s="5" t="s">
        <v>57</v>
      </c>
      <c r="N277" s="5" t="s">
        <v>57</v>
      </c>
      <c r="O277" s="7" t="s">
        <v>54</v>
      </c>
    </row>
    <row r="278" spans="1:15" x14ac:dyDescent="0.35">
      <c r="A278" s="5" t="s">
        <v>844</v>
      </c>
      <c r="B278" s="6" t="s">
        <v>548</v>
      </c>
      <c r="C278" s="6" t="s">
        <v>184</v>
      </c>
      <c r="D278" s="6" t="s">
        <v>48</v>
      </c>
      <c r="E278" s="6" t="s">
        <v>49</v>
      </c>
      <c r="F278" s="6" t="s">
        <v>50</v>
      </c>
      <c r="G278" s="6" t="s">
        <v>29</v>
      </c>
      <c r="H278" s="6" t="s">
        <v>52</v>
      </c>
      <c r="I278" s="6" t="s">
        <v>52</v>
      </c>
      <c r="J278" s="6"/>
      <c r="K278" s="6"/>
      <c r="L278" s="6"/>
      <c r="M278" s="5" t="s">
        <v>63</v>
      </c>
      <c r="N278" s="5" t="s">
        <v>63</v>
      </c>
      <c r="O278" s="6" t="s">
        <v>54</v>
      </c>
    </row>
    <row r="279" spans="1:15" x14ac:dyDescent="0.35">
      <c r="A279" s="5" t="s">
        <v>845</v>
      </c>
      <c r="B279" s="7" t="s">
        <v>694</v>
      </c>
      <c r="C279" s="7" t="s">
        <v>330</v>
      </c>
      <c r="D279" s="6" t="s">
        <v>48</v>
      </c>
      <c r="E279" s="6" t="s">
        <v>49</v>
      </c>
      <c r="F279" s="6" t="s">
        <v>55</v>
      </c>
      <c r="G279" s="6" t="s">
        <v>29</v>
      </c>
      <c r="H279" s="6" t="s">
        <v>52</v>
      </c>
      <c r="I279" s="6" t="s">
        <v>52</v>
      </c>
      <c r="J279" s="6"/>
      <c r="K279" s="6"/>
      <c r="L279" s="6"/>
      <c r="M279" s="5" t="s">
        <v>57</v>
      </c>
      <c r="N279" s="5" t="s">
        <v>57</v>
      </c>
      <c r="O279" s="6" t="s">
        <v>54</v>
      </c>
    </row>
    <row r="280" spans="1:15" x14ac:dyDescent="0.35">
      <c r="A280" s="5" t="s">
        <v>849</v>
      </c>
      <c r="B280" s="6" t="s">
        <v>672</v>
      </c>
      <c r="C280" s="6" t="s">
        <v>308</v>
      </c>
      <c r="D280" s="7" t="s">
        <v>48</v>
      </c>
      <c r="E280" s="7" t="s">
        <v>49</v>
      </c>
      <c r="F280" s="7" t="s">
        <v>55</v>
      </c>
      <c r="G280" s="7" t="s">
        <v>9</v>
      </c>
      <c r="H280" s="7" t="s">
        <v>52</v>
      </c>
      <c r="I280" s="7" t="s">
        <v>52</v>
      </c>
      <c r="J280" s="7" t="s">
        <v>51</v>
      </c>
      <c r="K280" s="7"/>
      <c r="L280" s="7"/>
      <c r="M280" s="5" t="s">
        <v>59</v>
      </c>
      <c r="N280" s="5" t="s">
        <v>59</v>
      </c>
      <c r="O280" s="7" t="s">
        <v>54</v>
      </c>
    </row>
    <row r="281" spans="1:15" x14ac:dyDescent="0.35">
      <c r="A281" s="5" t="s">
        <v>926</v>
      </c>
      <c r="B281" s="6" t="s">
        <v>786</v>
      </c>
      <c r="C281" s="6" t="s">
        <v>422</v>
      </c>
      <c r="D281" s="7" t="s">
        <v>48</v>
      </c>
      <c r="E281" s="7" t="s">
        <v>49</v>
      </c>
      <c r="F281" s="7" t="s">
        <v>55</v>
      </c>
      <c r="G281" s="7" t="s">
        <v>5</v>
      </c>
      <c r="H281" s="7" t="s">
        <v>51</v>
      </c>
      <c r="I281" s="7" t="s">
        <v>52</v>
      </c>
      <c r="J281" s="7" t="s">
        <v>51</v>
      </c>
      <c r="K281" s="7" t="s">
        <v>51</v>
      </c>
      <c r="L281" s="7"/>
      <c r="M281" s="5" t="s">
        <v>95</v>
      </c>
      <c r="N281" s="5" t="s">
        <v>95</v>
      </c>
      <c r="O281" s="6" t="s">
        <v>54</v>
      </c>
    </row>
    <row r="282" spans="1:15" x14ac:dyDescent="0.35">
      <c r="A282" s="5" t="s">
        <v>870</v>
      </c>
      <c r="B282" s="7" t="s">
        <v>619</v>
      </c>
      <c r="C282" s="7" t="s">
        <v>255</v>
      </c>
      <c r="D282" s="6" t="s">
        <v>48</v>
      </c>
      <c r="E282" s="6" t="s">
        <v>49</v>
      </c>
      <c r="F282" s="6" t="s">
        <v>50</v>
      </c>
      <c r="G282" s="6" t="s">
        <v>9</v>
      </c>
      <c r="H282" s="6" t="s">
        <v>52</v>
      </c>
      <c r="I282" s="6" t="s">
        <v>52</v>
      </c>
      <c r="J282" s="6"/>
      <c r="K282" s="6"/>
      <c r="L282" s="6"/>
      <c r="M282" s="5" t="s">
        <v>67</v>
      </c>
      <c r="N282" s="5" t="s">
        <v>67</v>
      </c>
      <c r="O282" s="6" t="s">
        <v>54</v>
      </c>
    </row>
    <row r="283" spans="1:15" x14ac:dyDescent="0.35">
      <c r="A283" s="5" t="s">
        <v>875</v>
      </c>
      <c r="B283" s="6" t="s">
        <v>689</v>
      </c>
      <c r="C283" s="6" t="s">
        <v>325</v>
      </c>
      <c r="D283" s="7" t="s">
        <v>48</v>
      </c>
      <c r="E283" s="7" t="s">
        <v>49</v>
      </c>
      <c r="F283" s="7" t="s">
        <v>50</v>
      </c>
      <c r="G283" s="7" t="s">
        <v>9</v>
      </c>
      <c r="H283" s="7" t="s">
        <v>52</v>
      </c>
      <c r="I283" s="7" t="s">
        <v>52</v>
      </c>
      <c r="J283" s="7"/>
      <c r="K283" s="7"/>
      <c r="L283" s="7"/>
      <c r="M283" s="5" t="s">
        <v>67</v>
      </c>
      <c r="N283" s="5" t="s">
        <v>67</v>
      </c>
      <c r="O283" s="7" t="s">
        <v>54</v>
      </c>
    </row>
    <row r="284" spans="1:15" x14ac:dyDescent="0.35">
      <c r="A284" s="5" t="s">
        <v>863</v>
      </c>
      <c r="B284" s="6" t="s">
        <v>485</v>
      </c>
      <c r="C284" s="6" t="s">
        <v>121</v>
      </c>
      <c r="D284" s="6" t="s">
        <v>48</v>
      </c>
      <c r="E284" s="6" t="s">
        <v>49</v>
      </c>
      <c r="F284" s="6" t="s">
        <v>50</v>
      </c>
      <c r="G284" s="6" t="s">
        <v>26</v>
      </c>
      <c r="H284" s="6" t="s">
        <v>52</v>
      </c>
      <c r="I284" s="6" t="s">
        <v>64</v>
      </c>
      <c r="J284" s="6"/>
      <c r="K284" s="6"/>
      <c r="L284" s="6"/>
      <c r="M284" s="5" t="s">
        <v>56</v>
      </c>
      <c r="N284" s="5" t="s">
        <v>56</v>
      </c>
      <c r="O284" s="6" t="s">
        <v>54</v>
      </c>
    </row>
    <row r="285" spans="1:15" x14ac:dyDescent="0.35">
      <c r="A285" s="5" t="s">
        <v>870</v>
      </c>
      <c r="B285" s="6" t="s">
        <v>632</v>
      </c>
      <c r="C285" s="6" t="s">
        <v>268</v>
      </c>
      <c r="D285" s="6" t="s">
        <v>48</v>
      </c>
      <c r="E285" s="6" t="s">
        <v>49</v>
      </c>
      <c r="F285" s="6" t="s">
        <v>50</v>
      </c>
      <c r="G285" s="6" t="s">
        <v>13</v>
      </c>
      <c r="H285" s="6" t="s">
        <v>52</v>
      </c>
      <c r="I285" s="6" t="s">
        <v>52</v>
      </c>
      <c r="J285" s="6" t="s">
        <v>51</v>
      </c>
      <c r="K285" s="6"/>
      <c r="L285" s="6"/>
      <c r="M285" s="5" t="s">
        <v>67</v>
      </c>
      <c r="N285" s="5" t="s">
        <v>67</v>
      </c>
      <c r="O285" s="6" t="s">
        <v>54</v>
      </c>
    </row>
    <row r="286" spans="1:15" x14ac:dyDescent="0.35">
      <c r="A286" s="5" t="s">
        <v>927</v>
      </c>
      <c r="B286" s="6" t="s">
        <v>809</v>
      </c>
      <c r="C286" s="6" t="s">
        <v>445</v>
      </c>
      <c r="D286" s="7" t="s">
        <v>48</v>
      </c>
      <c r="E286" s="7" t="s">
        <v>49</v>
      </c>
      <c r="F286" s="7" t="s">
        <v>55</v>
      </c>
      <c r="G286" s="7" t="s">
        <v>19</v>
      </c>
      <c r="H286" s="7" t="s">
        <v>52</v>
      </c>
      <c r="I286" s="7" t="s">
        <v>52</v>
      </c>
      <c r="J286" s="7"/>
      <c r="K286" s="7"/>
      <c r="L286" s="7"/>
      <c r="M286" s="5" t="s">
        <v>61</v>
      </c>
      <c r="N286" s="5" t="s">
        <v>61</v>
      </c>
      <c r="O286" s="7" t="s">
        <v>54</v>
      </c>
    </row>
    <row r="287" spans="1:15" x14ac:dyDescent="0.35">
      <c r="A287" s="5" t="s">
        <v>916</v>
      </c>
      <c r="B287" s="6" t="s">
        <v>705</v>
      </c>
      <c r="C287" s="6" t="s">
        <v>341</v>
      </c>
      <c r="D287" s="7" t="s">
        <v>48</v>
      </c>
      <c r="E287" s="7" t="s">
        <v>49</v>
      </c>
      <c r="F287" s="7" t="s">
        <v>55</v>
      </c>
      <c r="G287" s="7" t="s">
        <v>25</v>
      </c>
      <c r="H287" s="7" t="s">
        <v>52</v>
      </c>
      <c r="I287" s="7" t="s">
        <v>52</v>
      </c>
      <c r="J287" s="7"/>
      <c r="K287" s="7"/>
      <c r="L287" s="7"/>
      <c r="M287" s="5" t="s">
        <v>56</v>
      </c>
      <c r="N287" s="5" t="s">
        <v>56</v>
      </c>
      <c r="O287" s="7" t="s">
        <v>54</v>
      </c>
    </row>
    <row r="288" spans="1:15" x14ac:dyDescent="0.35">
      <c r="A288" s="5" t="s">
        <v>850</v>
      </c>
      <c r="B288" s="7" t="s">
        <v>571</v>
      </c>
      <c r="C288" s="7" t="s">
        <v>207</v>
      </c>
      <c r="D288" s="7" t="s">
        <v>48</v>
      </c>
      <c r="E288" s="7" t="s">
        <v>49</v>
      </c>
      <c r="F288" s="7" t="s">
        <v>50</v>
      </c>
      <c r="G288" s="7" t="s">
        <v>26</v>
      </c>
      <c r="H288" s="7" t="s">
        <v>52</v>
      </c>
      <c r="I288" s="7" t="s">
        <v>52</v>
      </c>
      <c r="J288" s="7"/>
      <c r="K288" s="7"/>
      <c r="L288" s="7"/>
      <c r="M288" s="5" t="s">
        <v>57</v>
      </c>
      <c r="N288" s="5" t="s">
        <v>57</v>
      </c>
      <c r="O288" s="7" t="s">
        <v>54</v>
      </c>
    </row>
    <row r="289" spans="1:15" x14ac:dyDescent="0.35">
      <c r="A289" s="5" t="s">
        <v>919</v>
      </c>
      <c r="B289" s="6" t="s">
        <v>761</v>
      </c>
      <c r="C289" s="6" t="s">
        <v>397</v>
      </c>
      <c r="D289" s="6" t="s">
        <v>48</v>
      </c>
      <c r="E289" s="6" t="s">
        <v>49</v>
      </c>
      <c r="F289" s="6" t="s">
        <v>50</v>
      </c>
      <c r="G289" s="6" t="s">
        <v>5</v>
      </c>
      <c r="H289" s="6" t="s">
        <v>52</v>
      </c>
      <c r="I289" s="6" t="s">
        <v>52</v>
      </c>
      <c r="J289" s="6"/>
      <c r="K289" s="6"/>
      <c r="L289" s="6"/>
      <c r="M289" s="5" t="s">
        <v>59</v>
      </c>
      <c r="N289" s="5" t="s">
        <v>59</v>
      </c>
      <c r="O289" s="6" t="s">
        <v>54</v>
      </c>
    </row>
    <row r="290" spans="1:15" x14ac:dyDescent="0.35">
      <c r="A290" s="5" t="s">
        <v>877</v>
      </c>
      <c r="B290" s="6" t="s">
        <v>749</v>
      </c>
      <c r="C290" s="6" t="s">
        <v>385</v>
      </c>
      <c r="D290" s="6" t="s">
        <v>48</v>
      </c>
      <c r="E290" s="6" t="s">
        <v>49</v>
      </c>
      <c r="F290" s="6" t="s">
        <v>50</v>
      </c>
      <c r="G290" s="6" t="s">
        <v>9</v>
      </c>
      <c r="H290" s="6" t="s">
        <v>52</v>
      </c>
      <c r="I290" s="6" t="s">
        <v>52</v>
      </c>
      <c r="J290" s="6"/>
      <c r="K290" s="6"/>
      <c r="L290" s="6"/>
      <c r="M290" s="5" t="s">
        <v>63</v>
      </c>
      <c r="N290" s="5" t="s">
        <v>63</v>
      </c>
      <c r="O290" s="6" t="s">
        <v>54</v>
      </c>
    </row>
    <row r="291" spans="1:15" x14ac:dyDescent="0.35">
      <c r="A291" s="5" t="s">
        <v>857</v>
      </c>
      <c r="B291" s="7" t="s">
        <v>691</v>
      </c>
      <c r="C291" s="7" t="s">
        <v>327</v>
      </c>
      <c r="D291" s="7" t="s">
        <v>48</v>
      </c>
      <c r="E291" s="7" t="s">
        <v>49</v>
      </c>
      <c r="F291" s="7" t="s">
        <v>50</v>
      </c>
      <c r="G291" s="7" t="s">
        <v>5</v>
      </c>
      <c r="H291" s="7" t="s">
        <v>52</v>
      </c>
      <c r="I291" s="7" t="s">
        <v>52</v>
      </c>
      <c r="J291" s="7" t="s">
        <v>51</v>
      </c>
      <c r="K291" s="7"/>
      <c r="L291" s="7"/>
      <c r="M291" s="5" t="s">
        <v>67</v>
      </c>
      <c r="N291" s="5" t="s">
        <v>67</v>
      </c>
      <c r="O291" s="7" t="s">
        <v>54</v>
      </c>
    </row>
    <row r="292" spans="1:15" x14ac:dyDescent="0.35">
      <c r="A292" s="5" t="s">
        <v>877</v>
      </c>
      <c r="B292" s="6" t="s">
        <v>732</v>
      </c>
      <c r="C292" s="6" t="s">
        <v>368</v>
      </c>
      <c r="D292" s="7" t="s">
        <v>48</v>
      </c>
      <c r="E292" s="7" t="s">
        <v>49</v>
      </c>
      <c r="F292" s="7" t="s">
        <v>50</v>
      </c>
      <c r="G292" s="7" t="s">
        <v>5</v>
      </c>
      <c r="H292" s="7" t="s">
        <v>52</v>
      </c>
      <c r="I292" s="7" t="s">
        <v>52</v>
      </c>
      <c r="J292" s="7"/>
      <c r="K292" s="7"/>
      <c r="L292" s="7"/>
      <c r="M292" s="5" t="s">
        <v>63</v>
      </c>
      <c r="N292" s="5" t="s">
        <v>63</v>
      </c>
      <c r="O292" s="7" t="s">
        <v>54</v>
      </c>
    </row>
    <row r="293" spans="1:15" x14ac:dyDescent="0.35">
      <c r="A293" s="5" t="s">
        <v>872</v>
      </c>
      <c r="B293" s="6" t="s">
        <v>473</v>
      </c>
      <c r="C293" s="6" t="s">
        <v>109</v>
      </c>
      <c r="D293" s="6" t="s">
        <v>48</v>
      </c>
      <c r="E293" s="6" t="s">
        <v>49</v>
      </c>
      <c r="F293" s="6" t="s">
        <v>55</v>
      </c>
      <c r="G293" s="6" t="s">
        <v>5</v>
      </c>
      <c r="H293" s="6" t="s">
        <v>52</v>
      </c>
      <c r="I293" s="6" t="s">
        <v>52</v>
      </c>
      <c r="J293" s="6" t="s">
        <v>51</v>
      </c>
      <c r="K293" s="6" t="s">
        <v>51</v>
      </c>
      <c r="L293" s="6" t="s">
        <v>62</v>
      </c>
      <c r="M293" s="5" t="s">
        <v>57</v>
      </c>
      <c r="N293" s="5" t="s">
        <v>57</v>
      </c>
      <c r="O293" s="6" t="s">
        <v>54</v>
      </c>
    </row>
    <row r="294" spans="1:15" x14ac:dyDescent="0.35">
      <c r="A294" s="5" t="s">
        <v>845</v>
      </c>
      <c r="B294" s="7" t="s">
        <v>649</v>
      </c>
      <c r="C294" s="7" t="s">
        <v>285</v>
      </c>
      <c r="D294" s="7" t="s">
        <v>48</v>
      </c>
      <c r="E294" s="7" t="s">
        <v>49</v>
      </c>
      <c r="F294" s="7" t="s">
        <v>55</v>
      </c>
      <c r="G294" s="7" t="s">
        <v>21</v>
      </c>
      <c r="H294" s="7" t="s">
        <v>52</v>
      </c>
      <c r="I294" s="7" t="s">
        <v>52</v>
      </c>
      <c r="J294" s="7" t="s">
        <v>51</v>
      </c>
      <c r="K294" s="7"/>
      <c r="L294" s="7" t="s">
        <v>70</v>
      </c>
      <c r="M294" s="5" t="s">
        <v>57</v>
      </c>
      <c r="N294" s="5" t="s">
        <v>57</v>
      </c>
      <c r="O294" s="7" t="s">
        <v>54</v>
      </c>
    </row>
    <row r="295" spans="1:15" x14ac:dyDescent="0.35">
      <c r="A295" s="5" t="s">
        <v>834</v>
      </c>
      <c r="B295" s="7" t="s">
        <v>709</v>
      </c>
      <c r="C295" s="7" t="s">
        <v>345</v>
      </c>
      <c r="D295" s="6" t="s">
        <v>48</v>
      </c>
      <c r="E295" s="6" t="s">
        <v>49</v>
      </c>
      <c r="F295" s="6" t="s">
        <v>55</v>
      </c>
      <c r="G295" s="6" t="s">
        <v>13</v>
      </c>
      <c r="H295" s="6" t="s">
        <v>51</v>
      </c>
      <c r="I295" s="6" t="s">
        <v>52</v>
      </c>
      <c r="J295" s="6" t="s">
        <v>51</v>
      </c>
      <c r="K295" s="6" t="s">
        <v>51</v>
      </c>
      <c r="L295" s="6"/>
      <c r="M295" s="5" t="s">
        <v>56</v>
      </c>
      <c r="N295" s="5" t="s">
        <v>56</v>
      </c>
      <c r="O295" s="6" t="s">
        <v>54</v>
      </c>
    </row>
    <row r="296" spans="1:15" x14ac:dyDescent="0.35">
      <c r="A296" s="5" t="s">
        <v>838</v>
      </c>
      <c r="B296" s="7" t="s">
        <v>472</v>
      </c>
      <c r="C296" s="7" t="s">
        <v>108</v>
      </c>
      <c r="D296" s="7" t="s">
        <v>48</v>
      </c>
      <c r="E296" s="7" t="s">
        <v>49</v>
      </c>
      <c r="F296" s="7" t="s">
        <v>55</v>
      </c>
      <c r="G296" s="7" t="s">
        <v>20</v>
      </c>
      <c r="H296" s="7" t="s">
        <v>52</v>
      </c>
      <c r="I296" s="7" t="s">
        <v>60</v>
      </c>
      <c r="J296" s="7"/>
      <c r="K296" s="8">
        <v>45866</v>
      </c>
      <c r="L296" s="7"/>
      <c r="M296" s="5" t="s">
        <v>61</v>
      </c>
      <c r="N296" s="5" t="s">
        <v>61</v>
      </c>
      <c r="O296" s="7" t="s">
        <v>54</v>
      </c>
    </row>
    <row r="297" spans="1:15" x14ac:dyDescent="0.35">
      <c r="A297" s="5" t="s">
        <v>928</v>
      </c>
      <c r="B297" s="7" t="s">
        <v>745</v>
      </c>
      <c r="C297" s="7" t="s">
        <v>381</v>
      </c>
      <c r="D297" s="6" t="s">
        <v>48</v>
      </c>
      <c r="E297" s="6" t="s">
        <v>49</v>
      </c>
      <c r="F297" s="6" t="s">
        <v>50</v>
      </c>
      <c r="G297" s="6" t="s">
        <v>20</v>
      </c>
      <c r="H297" s="6" t="s">
        <v>52</v>
      </c>
      <c r="I297" s="6" t="s">
        <v>52</v>
      </c>
      <c r="J297" s="6"/>
      <c r="K297" s="6"/>
      <c r="L297" s="6"/>
      <c r="M297" s="5" t="s">
        <v>61</v>
      </c>
      <c r="N297" s="5" t="s">
        <v>61</v>
      </c>
      <c r="O297" s="6" t="s">
        <v>54</v>
      </c>
    </row>
    <row r="298" spans="1:15" x14ac:dyDescent="0.35">
      <c r="A298" s="5" t="s">
        <v>832</v>
      </c>
      <c r="B298" s="6" t="s">
        <v>545</v>
      </c>
      <c r="C298" s="6" t="s">
        <v>181</v>
      </c>
      <c r="D298" s="7" t="s">
        <v>48</v>
      </c>
      <c r="E298" s="7" t="s">
        <v>49</v>
      </c>
      <c r="F298" s="7" t="s">
        <v>50</v>
      </c>
      <c r="G298" s="7" t="s">
        <v>17</v>
      </c>
      <c r="H298" s="7" t="s">
        <v>52</v>
      </c>
      <c r="I298" s="7" t="s">
        <v>52</v>
      </c>
      <c r="J298" s="7"/>
      <c r="K298" s="7"/>
      <c r="L298" s="7"/>
      <c r="M298" s="5" t="s">
        <v>59</v>
      </c>
      <c r="N298" s="5" t="s">
        <v>59</v>
      </c>
      <c r="O298" s="7" t="s">
        <v>54</v>
      </c>
    </row>
    <row r="299" spans="1:15" x14ac:dyDescent="0.35">
      <c r="A299" s="5" t="s">
        <v>855</v>
      </c>
      <c r="B299" s="7" t="s">
        <v>697</v>
      </c>
      <c r="C299" s="7" t="s">
        <v>333</v>
      </c>
      <c r="D299" s="7" t="s">
        <v>48</v>
      </c>
      <c r="E299" s="7" t="s">
        <v>49</v>
      </c>
      <c r="F299" s="7" t="s">
        <v>55</v>
      </c>
      <c r="G299" s="7" t="s">
        <v>19</v>
      </c>
      <c r="H299" s="7" t="s">
        <v>52</v>
      </c>
      <c r="I299" s="7" t="s">
        <v>52</v>
      </c>
      <c r="J299" s="7" t="s">
        <v>51</v>
      </c>
      <c r="K299" s="7"/>
      <c r="L299" s="7"/>
      <c r="M299" s="5" t="s">
        <v>57</v>
      </c>
      <c r="N299" s="5" t="s">
        <v>57</v>
      </c>
      <c r="O299" s="7" t="s">
        <v>54</v>
      </c>
    </row>
    <row r="300" spans="1:15" x14ac:dyDescent="0.35">
      <c r="A300" s="5" t="s">
        <v>870</v>
      </c>
      <c r="B300" s="7" t="s">
        <v>547</v>
      </c>
      <c r="C300" s="7" t="s">
        <v>183</v>
      </c>
      <c r="D300" s="7" t="s">
        <v>48</v>
      </c>
      <c r="E300" s="7" t="s">
        <v>49</v>
      </c>
      <c r="F300" s="7" t="s">
        <v>50</v>
      </c>
      <c r="G300" s="7" t="s">
        <v>14</v>
      </c>
      <c r="H300" s="7" t="s">
        <v>52</v>
      </c>
      <c r="I300" s="7" t="s">
        <v>60</v>
      </c>
      <c r="J300" s="7" t="s">
        <v>51</v>
      </c>
      <c r="K300" s="7"/>
      <c r="L300" s="7"/>
      <c r="M300" s="5" t="s">
        <v>67</v>
      </c>
      <c r="N300" s="5" t="s">
        <v>67</v>
      </c>
      <c r="O300" s="7" t="s">
        <v>54</v>
      </c>
    </row>
    <row r="301" spans="1:15" x14ac:dyDescent="0.35">
      <c r="A301" s="5" t="s">
        <v>891</v>
      </c>
      <c r="B301" s="7" t="s">
        <v>667</v>
      </c>
      <c r="C301" s="7" t="s">
        <v>303</v>
      </c>
      <c r="D301" s="6" t="s">
        <v>48</v>
      </c>
      <c r="E301" s="6" t="s">
        <v>49</v>
      </c>
      <c r="F301" s="6" t="s">
        <v>55</v>
      </c>
      <c r="G301" s="6" t="s">
        <v>9</v>
      </c>
      <c r="H301" s="6" t="s">
        <v>52</v>
      </c>
      <c r="I301" s="6" t="s">
        <v>52</v>
      </c>
      <c r="J301" s="6" t="s">
        <v>51</v>
      </c>
      <c r="K301" s="6" t="s">
        <v>51</v>
      </c>
      <c r="L301" s="6" t="s">
        <v>91</v>
      </c>
      <c r="M301" s="5" t="s">
        <v>63</v>
      </c>
      <c r="N301" s="5" t="s">
        <v>63</v>
      </c>
      <c r="O301" s="6" t="s">
        <v>54</v>
      </c>
    </row>
    <row r="302" spans="1:15" x14ac:dyDescent="0.35">
      <c r="A302" s="5" t="s">
        <v>881</v>
      </c>
      <c r="B302" s="6" t="s">
        <v>723</v>
      </c>
      <c r="C302" s="6" t="s">
        <v>359</v>
      </c>
      <c r="D302" s="6" t="s">
        <v>48</v>
      </c>
      <c r="E302" s="6" t="s">
        <v>49</v>
      </c>
      <c r="F302" s="6" t="s">
        <v>50</v>
      </c>
      <c r="G302" s="6" t="s">
        <v>9</v>
      </c>
      <c r="H302" s="6" t="s">
        <v>51</v>
      </c>
      <c r="I302" s="6" t="s">
        <v>52</v>
      </c>
      <c r="J302" s="6"/>
      <c r="K302" s="6"/>
      <c r="L302" s="6"/>
      <c r="M302" s="5" t="s">
        <v>67</v>
      </c>
      <c r="N302" s="5" t="s">
        <v>67</v>
      </c>
      <c r="O302" s="6" t="s">
        <v>54</v>
      </c>
    </row>
    <row r="303" spans="1:15" x14ac:dyDescent="0.35">
      <c r="A303" s="5" t="s">
        <v>848</v>
      </c>
      <c r="B303" s="6" t="s">
        <v>725</v>
      </c>
      <c r="C303" s="6" t="s">
        <v>361</v>
      </c>
      <c r="D303" s="6" t="s">
        <v>48</v>
      </c>
      <c r="E303" s="6" t="s">
        <v>49</v>
      </c>
      <c r="F303" s="6" t="s">
        <v>50</v>
      </c>
      <c r="G303" s="6" t="s">
        <v>29</v>
      </c>
      <c r="H303" s="6" t="s">
        <v>52</v>
      </c>
      <c r="I303" s="6" t="s">
        <v>52</v>
      </c>
      <c r="J303" s="6"/>
      <c r="K303" s="6"/>
      <c r="L303" s="6"/>
      <c r="M303" s="5" t="s">
        <v>56</v>
      </c>
      <c r="N303" s="5" t="s">
        <v>56</v>
      </c>
      <c r="O303" s="6" t="s">
        <v>54</v>
      </c>
    </row>
    <row r="304" spans="1:15" x14ac:dyDescent="0.35">
      <c r="A304" s="5" t="s">
        <v>847</v>
      </c>
      <c r="B304" s="6" t="s">
        <v>498</v>
      </c>
      <c r="C304" s="6" t="s">
        <v>134</v>
      </c>
      <c r="D304" s="7" t="s">
        <v>48</v>
      </c>
      <c r="E304" s="7" t="s">
        <v>49</v>
      </c>
      <c r="F304" s="7" t="s">
        <v>55</v>
      </c>
      <c r="G304" s="7" t="s">
        <v>9</v>
      </c>
      <c r="H304" s="7" t="s">
        <v>52</v>
      </c>
      <c r="I304" s="7" t="s">
        <v>52</v>
      </c>
      <c r="J304" s="7"/>
      <c r="K304" s="7"/>
      <c r="L304" s="7"/>
      <c r="M304" s="5" t="s">
        <v>67</v>
      </c>
      <c r="N304" s="5" t="s">
        <v>67</v>
      </c>
      <c r="O304" s="7" t="s">
        <v>54</v>
      </c>
    </row>
    <row r="305" spans="1:15" x14ac:dyDescent="0.35">
      <c r="A305" s="5" t="s">
        <v>834</v>
      </c>
      <c r="B305" s="7" t="s">
        <v>517</v>
      </c>
      <c r="C305" s="7" t="s">
        <v>153</v>
      </c>
      <c r="D305" s="7" t="s">
        <v>48</v>
      </c>
      <c r="E305" s="7" t="s">
        <v>49</v>
      </c>
      <c r="F305" s="7" t="s">
        <v>55</v>
      </c>
      <c r="G305" s="7" t="s">
        <v>26</v>
      </c>
      <c r="H305" s="7" t="s">
        <v>52</v>
      </c>
      <c r="I305" s="7" t="s">
        <v>60</v>
      </c>
      <c r="J305" s="7"/>
      <c r="K305" s="7"/>
      <c r="L305" s="7"/>
      <c r="M305" s="5" t="s">
        <v>56</v>
      </c>
      <c r="N305" s="5" t="s">
        <v>56</v>
      </c>
      <c r="O305" s="7" t="s">
        <v>54</v>
      </c>
    </row>
    <row r="306" spans="1:15" x14ac:dyDescent="0.35">
      <c r="A306" s="5" t="s">
        <v>842</v>
      </c>
      <c r="B306" s="7" t="s">
        <v>604</v>
      </c>
      <c r="C306" s="7" t="s">
        <v>240</v>
      </c>
      <c r="D306" s="7" t="s">
        <v>48</v>
      </c>
      <c r="E306" s="7" t="s">
        <v>49</v>
      </c>
      <c r="F306" s="7" t="s">
        <v>55</v>
      </c>
      <c r="G306" s="7" t="s">
        <v>32</v>
      </c>
      <c r="H306" s="7" t="s">
        <v>52</v>
      </c>
      <c r="I306" s="7" t="s">
        <v>52</v>
      </c>
      <c r="J306" s="7"/>
      <c r="K306" s="7"/>
      <c r="L306" s="7"/>
      <c r="M306" s="5" t="s">
        <v>57</v>
      </c>
      <c r="N306" s="5" t="s">
        <v>57</v>
      </c>
      <c r="O306" s="7" t="s">
        <v>54</v>
      </c>
    </row>
    <row r="307" spans="1:15" x14ac:dyDescent="0.35">
      <c r="A307" s="5" t="s">
        <v>889</v>
      </c>
      <c r="B307" s="6" t="s">
        <v>527</v>
      </c>
      <c r="C307" s="6" t="s">
        <v>163</v>
      </c>
      <c r="D307" s="7" t="s">
        <v>48</v>
      </c>
      <c r="E307" s="7" t="s">
        <v>49</v>
      </c>
      <c r="F307" s="7" t="s">
        <v>55</v>
      </c>
      <c r="G307" s="7" t="s">
        <v>26</v>
      </c>
      <c r="H307" s="7" t="s">
        <v>51</v>
      </c>
      <c r="I307" s="7" t="s">
        <v>52</v>
      </c>
      <c r="J307" s="7" t="s">
        <v>51</v>
      </c>
      <c r="K307" s="7" t="s">
        <v>51</v>
      </c>
      <c r="L307" s="7"/>
      <c r="M307" s="5" t="s">
        <v>59</v>
      </c>
      <c r="N307" s="5" t="s">
        <v>59</v>
      </c>
      <c r="O307" s="7" t="s">
        <v>54</v>
      </c>
    </row>
    <row r="308" spans="1:15" x14ac:dyDescent="0.35">
      <c r="A308" s="5" t="s">
        <v>880</v>
      </c>
      <c r="B308" s="7" t="s">
        <v>766</v>
      </c>
      <c r="C308" s="7" t="s">
        <v>402</v>
      </c>
      <c r="D308" s="7" t="s">
        <v>48</v>
      </c>
      <c r="E308" s="7" t="s">
        <v>49</v>
      </c>
      <c r="F308" s="7" t="s">
        <v>50</v>
      </c>
      <c r="G308" s="7" t="s">
        <v>15</v>
      </c>
      <c r="H308" s="7" t="s">
        <v>52</v>
      </c>
      <c r="I308" s="7" t="s">
        <v>52</v>
      </c>
      <c r="J308" s="7"/>
      <c r="K308" s="7"/>
      <c r="L308" s="7"/>
      <c r="M308" s="5" t="s">
        <v>59</v>
      </c>
      <c r="N308" s="5" t="s">
        <v>59</v>
      </c>
      <c r="O308" s="7" t="s">
        <v>54</v>
      </c>
    </row>
    <row r="309" spans="1:15" x14ac:dyDescent="0.35">
      <c r="A309" s="5" t="s">
        <v>861</v>
      </c>
      <c r="B309" s="7" t="s">
        <v>679</v>
      </c>
      <c r="C309" s="7" t="s">
        <v>315</v>
      </c>
      <c r="D309" s="6" t="s">
        <v>48</v>
      </c>
      <c r="E309" s="6" t="s">
        <v>49</v>
      </c>
      <c r="F309" s="6" t="s">
        <v>50</v>
      </c>
      <c r="G309" s="6" t="s">
        <v>7</v>
      </c>
      <c r="H309" s="6" t="s">
        <v>52</v>
      </c>
      <c r="I309" s="6" t="s">
        <v>52</v>
      </c>
      <c r="J309" s="6"/>
      <c r="K309" s="6"/>
      <c r="L309" s="6"/>
      <c r="M309" s="5" t="s">
        <v>59</v>
      </c>
      <c r="N309" s="5" t="s">
        <v>59</v>
      </c>
      <c r="O309" s="6" t="s">
        <v>54</v>
      </c>
    </row>
    <row r="310" spans="1:15" x14ac:dyDescent="0.35">
      <c r="A310" s="5" t="s">
        <v>929</v>
      </c>
      <c r="B310" s="6" t="s">
        <v>630</v>
      </c>
      <c r="C310" s="6" t="s">
        <v>266</v>
      </c>
      <c r="D310" s="6" t="s">
        <v>48</v>
      </c>
      <c r="E310" s="6" t="s">
        <v>49</v>
      </c>
      <c r="F310" s="6" t="s">
        <v>50</v>
      </c>
      <c r="G310" s="6" t="s">
        <v>0</v>
      </c>
      <c r="H310" s="6" t="s">
        <v>52</v>
      </c>
      <c r="I310" s="6" t="s">
        <v>52</v>
      </c>
      <c r="J310" s="6"/>
      <c r="K310" s="6"/>
      <c r="L310" s="6"/>
      <c r="M310" s="5" t="s">
        <v>69</v>
      </c>
      <c r="N310" s="5" t="s">
        <v>69</v>
      </c>
      <c r="O310" s="6" t="s">
        <v>54</v>
      </c>
    </row>
    <row r="311" spans="1:15" x14ac:dyDescent="0.35">
      <c r="A311" s="5" t="s">
        <v>880</v>
      </c>
      <c r="B311" s="7" t="s">
        <v>763</v>
      </c>
      <c r="C311" s="7" t="s">
        <v>399</v>
      </c>
      <c r="D311" s="6" t="s">
        <v>48</v>
      </c>
      <c r="E311" s="6" t="s">
        <v>49</v>
      </c>
      <c r="F311" s="6" t="s">
        <v>50</v>
      </c>
      <c r="G311" s="6" t="s">
        <v>9</v>
      </c>
      <c r="H311" s="6" t="s">
        <v>51</v>
      </c>
      <c r="I311" s="6" t="s">
        <v>52</v>
      </c>
      <c r="J311" s="6" t="s">
        <v>51</v>
      </c>
      <c r="K311" s="6"/>
      <c r="L311" s="6"/>
      <c r="M311" s="5" t="s">
        <v>59</v>
      </c>
      <c r="N311" s="5" t="s">
        <v>59</v>
      </c>
      <c r="O311" s="6" t="s">
        <v>54</v>
      </c>
    </row>
    <row r="312" spans="1:15" x14ac:dyDescent="0.35">
      <c r="A312" s="5" t="s">
        <v>842</v>
      </c>
      <c r="B312" s="7" t="s">
        <v>478</v>
      </c>
      <c r="C312" s="7" t="s">
        <v>114</v>
      </c>
      <c r="D312" s="7" t="s">
        <v>48</v>
      </c>
      <c r="E312" s="7" t="s">
        <v>49</v>
      </c>
      <c r="F312" s="7" t="s">
        <v>55</v>
      </c>
      <c r="G312" s="7" t="s">
        <v>9</v>
      </c>
      <c r="H312" s="7" t="s">
        <v>52</v>
      </c>
      <c r="I312" s="7" t="s">
        <v>64</v>
      </c>
      <c r="J312" s="7"/>
      <c r="K312" s="7"/>
      <c r="L312" s="7"/>
      <c r="M312" s="5" t="s">
        <v>57</v>
      </c>
      <c r="N312" s="5" t="s">
        <v>57</v>
      </c>
      <c r="O312" s="7" t="s">
        <v>54</v>
      </c>
    </row>
    <row r="313" spans="1:15" x14ac:dyDescent="0.35">
      <c r="A313" s="5" t="s">
        <v>836</v>
      </c>
      <c r="B313" s="6" t="s">
        <v>687</v>
      </c>
      <c r="C313" s="6" t="s">
        <v>323</v>
      </c>
      <c r="D313" s="7" t="s">
        <v>48</v>
      </c>
      <c r="E313" s="7" t="s">
        <v>49</v>
      </c>
      <c r="F313" s="7" t="s">
        <v>50</v>
      </c>
      <c r="G313" s="7" t="s">
        <v>26</v>
      </c>
      <c r="H313" s="7" t="s">
        <v>52</v>
      </c>
      <c r="I313" s="7" t="s">
        <v>52</v>
      </c>
      <c r="J313" s="7"/>
      <c r="K313" s="7"/>
      <c r="L313" s="7"/>
      <c r="M313" s="5" t="s">
        <v>63</v>
      </c>
      <c r="N313" s="5" t="s">
        <v>63</v>
      </c>
      <c r="O313" s="7" t="s">
        <v>54</v>
      </c>
    </row>
    <row r="314" spans="1:15" x14ac:dyDescent="0.35">
      <c r="A314" s="5" t="s">
        <v>864</v>
      </c>
      <c r="B314" s="6" t="s">
        <v>699</v>
      </c>
      <c r="C314" s="6" t="s">
        <v>335</v>
      </c>
      <c r="D314" s="7" t="s">
        <v>48</v>
      </c>
      <c r="E314" s="7" t="s">
        <v>49</v>
      </c>
      <c r="F314" s="7" t="s">
        <v>50</v>
      </c>
      <c r="G314" s="7" t="s">
        <v>26</v>
      </c>
      <c r="H314" s="7" t="s">
        <v>52</v>
      </c>
      <c r="I314" s="7" t="s">
        <v>52</v>
      </c>
      <c r="J314" s="7"/>
      <c r="K314" s="7"/>
      <c r="L314" s="7"/>
      <c r="M314" s="5" t="s">
        <v>57</v>
      </c>
      <c r="N314" s="5" t="s">
        <v>57</v>
      </c>
      <c r="O314" s="7" t="s">
        <v>54</v>
      </c>
    </row>
    <row r="315" spans="1:15" x14ac:dyDescent="0.35">
      <c r="A315" s="5" t="s">
        <v>859</v>
      </c>
      <c r="B315" s="7" t="s">
        <v>658</v>
      </c>
      <c r="C315" s="7" t="s">
        <v>294</v>
      </c>
      <c r="D315" s="7" t="s">
        <v>48</v>
      </c>
      <c r="E315" s="7" t="s">
        <v>49</v>
      </c>
      <c r="F315" s="7" t="s">
        <v>50</v>
      </c>
      <c r="G315" s="7" t="s">
        <v>0</v>
      </c>
      <c r="H315" s="7" t="s">
        <v>52</v>
      </c>
      <c r="I315" s="7" t="s">
        <v>52</v>
      </c>
      <c r="J315" s="7"/>
      <c r="K315" s="7"/>
      <c r="L315" s="7"/>
      <c r="M315" s="5" t="s">
        <v>59</v>
      </c>
      <c r="N315" s="5" t="s">
        <v>59</v>
      </c>
      <c r="O315" s="7" t="s">
        <v>54</v>
      </c>
    </row>
    <row r="316" spans="1:15" x14ac:dyDescent="0.35">
      <c r="A316" s="5" t="s">
        <v>873</v>
      </c>
      <c r="B316" s="6" t="s">
        <v>818</v>
      </c>
      <c r="C316" s="6" t="s">
        <v>454</v>
      </c>
      <c r="D316" s="6" t="s">
        <v>48</v>
      </c>
      <c r="E316" s="6" t="s">
        <v>49</v>
      </c>
      <c r="F316" s="6" t="s">
        <v>50</v>
      </c>
      <c r="G316" s="6" t="s">
        <v>9</v>
      </c>
      <c r="H316" s="6" t="s">
        <v>52</v>
      </c>
      <c r="I316" s="6" t="s">
        <v>60</v>
      </c>
      <c r="J316" s="6" t="s">
        <v>51</v>
      </c>
      <c r="K316" s="6"/>
      <c r="L316" s="6"/>
      <c r="M316" s="5" t="s">
        <v>57</v>
      </c>
      <c r="N316" s="5" t="s">
        <v>57</v>
      </c>
      <c r="O316" s="6" t="s">
        <v>54</v>
      </c>
    </row>
    <row r="317" spans="1:15" x14ac:dyDescent="0.35">
      <c r="A317" s="5" t="s">
        <v>850</v>
      </c>
      <c r="B317" s="7" t="s">
        <v>565</v>
      </c>
      <c r="C317" s="7" t="s">
        <v>201</v>
      </c>
      <c r="D317" s="7" t="s">
        <v>48</v>
      </c>
      <c r="E317" s="7" t="s">
        <v>49</v>
      </c>
      <c r="F317" s="7" t="s">
        <v>50</v>
      </c>
      <c r="G317" s="7" t="s">
        <v>9</v>
      </c>
      <c r="H317" s="7" t="s">
        <v>52</v>
      </c>
      <c r="I317" s="7" t="s">
        <v>52</v>
      </c>
      <c r="J317" s="7" t="s">
        <v>51</v>
      </c>
      <c r="K317" s="7"/>
      <c r="L317" s="7"/>
      <c r="M317" s="5" t="s">
        <v>57</v>
      </c>
      <c r="N317" s="5" t="s">
        <v>57</v>
      </c>
      <c r="O317" s="7" t="s">
        <v>54</v>
      </c>
    </row>
    <row r="318" spans="1:15" x14ac:dyDescent="0.35">
      <c r="A318" s="5" t="s">
        <v>875</v>
      </c>
      <c r="B318" s="6" t="s">
        <v>764</v>
      </c>
      <c r="C318" s="6" t="s">
        <v>400</v>
      </c>
      <c r="D318" s="7" t="s">
        <v>48</v>
      </c>
      <c r="E318" s="7" t="s">
        <v>49</v>
      </c>
      <c r="F318" s="7" t="s">
        <v>50</v>
      </c>
      <c r="G318" s="7" t="s">
        <v>26</v>
      </c>
      <c r="H318" s="7" t="s">
        <v>52</v>
      </c>
      <c r="I318" s="7" t="s">
        <v>60</v>
      </c>
      <c r="J318" s="7"/>
      <c r="K318" s="7"/>
      <c r="L318" s="7"/>
      <c r="M318" s="5" t="s">
        <v>67</v>
      </c>
      <c r="N318" s="5" t="s">
        <v>67</v>
      </c>
      <c r="O318" s="7" t="s">
        <v>54</v>
      </c>
    </row>
    <row r="319" spans="1:15" x14ac:dyDescent="0.35">
      <c r="A319" s="5" t="s">
        <v>836</v>
      </c>
      <c r="B319" s="6" t="s">
        <v>737</v>
      </c>
      <c r="C319" s="6" t="s">
        <v>373</v>
      </c>
      <c r="D319" s="6" t="s">
        <v>48</v>
      </c>
      <c r="E319" s="6" t="s">
        <v>49</v>
      </c>
      <c r="F319" s="6" t="s">
        <v>50</v>
      </c>
      <c r="G319" s="6" t="s">
        <v>0</v>
      </c>
      <c r="H319" s="6" t="s">
        <v>52</v>
      </c>
      <c r="I319" s="6" t="s">
        <v>52</v>
      </c>
      <c r="J319" s="6" t="s">
        <v>51</v>
      </c>
      <c r="K319" s="6"/>
      <c r="L319" s="6"/>
      <c r="M319" s="5" t="s">
        <v>63</v>
      </c>
      <c r="N319" s="5" t="s">
        <v>63</v>
      </c>
      <c r="O319" s="6" t="s">
        <v>54</v>
      </c>
    </row>
    <row r="320" spans="1:15" x14ac:dyDescent="0.35">
      <c r="A320" s="5" t="s">
        <v>831</v>
      </c>
      <c r="B320" s="6" t="s">
        <v>600</v>
      </c>
      <c r="C320" s="6" t="s">
        <v>236</v>
      </c>
      <c r="D320" s="7" t="s">
        <v>48</v>
      </c>
      <c r="E320" s="7" t="s">
        <v>49</v>
      </c>
      <c r="F320" s="7" t="s">
        <v>55</v>
      </c>
      <c r="G320" s="7" t="s">
        <v>26</v>
      </c>
      <c r="H320" s="7" t="s">
        <v>52</v>
      </c>
      <c r="I320" s="7" t="s">
        <v>60</v>
      </c>
      <c r="J320" s="7" t="s">
        <v>51</v>
      </c>
      <c r="K320" s="7"/>
      <c r="L320" s="7"/>
      <c r="M320" s="5" t="s">
        <v>59</v>
      </c>
      <c r="N320" s="5" t="s">
        <v>59</v>
      </c>
      <c r="O320" s="7" t="s">
        <v>54</v>
      </c>
    </row>
    <row r="321" spans="1:15" x14ac:dyDescent="0.35">
      <c r="A321" s="5" t="s">
        <v>860</v>
      </c>
      <c r="B321" s="6" t="s">
        <v>779</v>
      </c>
      <c r="C321" s="6" t="s">
        <v>415</v>
      </c>
      <c r="D321" s="6" t="s">
        <v>48</v>
      </c>
      <c r="E321" s="6" t="s">
        <v>49</v>
      </c>
      <c r="F321" s="6" t="s">
        <v>55</v>
      </c>
      <c r="G321" s="6" t="s">
        <v>22</v>
      </c>
      <c r="H321" s="6" t="s">
        <v>52</v>
      </c>
      <c r="I321" s="6" t="s">
        <v>60</v>
      </c>
      <c r="J321" s="6" t="s">
        <v>51</v>
      </c>
      <c r="K321" s="6"/>
      <c r="L321" s="6" t="s">
        <v>68</v>
      </c>
      <c r="M321" s="5" t="s">
        <v>63</v>
      </c>
      <c r="N321" s="5" t="s">
        <v>63</v>
      </c>
      <c r="O321" s="6" t="s">
        <v>54</v>
      </c>
    </row>
    <row r="322" spans="1:15" x14ac:dyDescent="0.35">
      <c r="A322" s="5" t="s">
        <v>930</v>
      </c>
      <c r="B322" s="6" t="s">
        <v>801</v>
      </c>
      <c r="C322" s="6" t="s">
        <v>437</v>
      </c>
      <c r="D322" s="7" t="s">
        <v>48</v>
      </c>
      <c r="E322" s="7" t="s">
        <v>49</v>
      </c>
      <c r="F322" s="7" t="s">
        <v>55</v>
      </c>
      <c r="G322" s="7" t="s">
        <v>5</v>
      </c>
      <c r="H322" s="7" t="s">
        <v>52</v>
      </c>
      <c r="I322" s="7" t="s">
        <v>52</v>
      </c>
      <c r="J322" s="7" t="s">
        <v>51</v>
      </c>
      <c r="K322" s="7"/>
      <c r="L322" s="7"/>
      <c r="M322" s="5" t="s">
        <v>66</v>
      </c>
      <c r="N322" s="5" t="s">
        <v>66</v>
      </c>
      <c r="O322" s="7" t="s">
        <v>54</v>
      </c>
    </row>
    <row r="323" spans="1:15" x14ac:dyDescent="0.35">
      <c r="A323" s="5" t="s">
        <v>877</v>
      </c>
      <c r="B323" s="6" t="s">
        <v>668</v>
      </c>
      <c r="C323" s="6" t="s">
        <v>304</v>
      </c>
      <c r="D323" s="7" t="s">
        <v>48</v>
      </c>
      <c r="E323" s="7" t="s">
        <v>49</v>
      </c>
      <c r="F323" s="7" t="s">
        <v>50</v>
      </c>
      <c r="G323" s="7" t="s">
        <v>9</v>
      </c>
      <c r="H323" s="7" t="s">
        <v>52</v>
      </c>
      <c r="I323" s="7" t="s">
        <v>52</v>
      </c>
      <c r="J323" s="7"/>
      <c r="K323" s="7"/>
      <c r="L323" s="7"/>
      <c r="M323" s="5" t="s">
        <v>63</v>
      </c>
      <c r="N323" s="5" t="s">
        <v>63</v>
      </c>
      <c r="O323" s="7" t="s">
        <v>54</v>
      </c>
    </row>
    <row r="324" spans="1:15" x14ac:dyDescent="0.35">
      <c r="A324" s="5" t="s">
        <v>861</v>
      </c>
      <c r="B324" s="6" t="s">
        <v>605</v>
      </c>
      <c r="C324" s="6" t="s">
        <v>241</v>
      </c>
      <c r="D324" s="6" t="s">
        <v>48</v>
      </c>
      <c r="E324" s="6" t="s">
        <v>49</v>
      </c>
      <c r="F324" s="6" t="s">
        <v>50</v>
      </c>
      <c r="G324" s="6" t="s">
        <v>8</v>
      </c>
      <c r="H324" s="6" t="s">
        <v>52</v>
      </c>
      <c r="I324" s="6" t="s">
        <v>60</v>
      </c>
      <c r="J324" s="6" t="s">
        <v>51</v>
      </c>
      <c r="K324" s="6" t="s">
        <v>51</v>
      </c>
      <c r="L324" s="6"/>
      <c r="M324" s="5" t="s">
        <v>59</v>
      </c>
      <c r="N324" s="5" t="s">
        <v>59</v>
      </c>
      <c r="O324" s="6" t="s">
        <v>54</v>
      </c>
    </row>
    <row r="325" spans="1:15" x14ac:dyDescent="0.35">
      <c r="A325" s="5" t="s">
        <v>841</v>
      </c>
      <c r="B325" s="6" t="s">
        <v>509</v>
      </c>
      <c r="C325" s="6" t="s">
        <v>145</v>
      </c>
      <c r="D325" s="6" t="s">
        <v>48</v>
      </c>
      <c r="E325" s="6" t="s">
        <v>49</v>
      </c>
      <c r="F325" s="6" t="s">
        <v>50</v>
      </c>
      <c r="G325" s="6" t="s">
        <v>2</v>
      </c>
      <c r="H325" s="6" t="s">
        <v>52</v>
      </c>
      <c r="I325" s="6" t="s">
        <v>52</v>
      </c>
      <c r="J325" s="6"/>
      <c r="K325" s="6"/>
      <c r="L325" s="6"/>
      <c r="M325" s="5" t="s">
        <v>57</v>
      </c>
      <c r="N325" s="5" t="s">
        <v>57</v>
      </c>
      <c r="O325" s="6" t="s">
        <v>54</v>
      </c>
    </row>
    <row r="326" spans="1:15" x14ac:dyDescent="0.35">
      <c r="A326" s="5" t="s">
        <v>872</v>
      </c>
      <c r="B326" s="6" t="s">
        <v>707</v>
      </c>
      <c r="C326" s="6" t="s">
        <v>343</v>
      </c>
      <c r="D326" s="7" t="s">
        <v>48</v>
      </c>
      <c r="E326" s="7" t="s">
        <v>49</v>
      </c>
      <c r="F326" s="7" t="s">
        <v>55</v>
      </c>
      <c r="G326" s="7" t="s">
        <v>5</v>
      </c>
      <c r="H326" s="7" t="s">
        <v>52</v>
      </c>
      <c r="I326" s="7" t="s">
        <v>52</v>
      </c>
      <c r="J326" s="7"/>
      <c r="K326" s="7"/>
      <c r="L326" s="7"/>
      <c r="M326" s="5" t="s">
        <v>57</v>
      </c>
      <c r="N326" s="5" t="s">
        <v>57</v>
      </c>
      <c r="O326" s="7" t="s">
        <v>54</v>
      </c>
    </row>
    <row r="327" spans="1:15" x14ac:dyDescent="0.35">
      <c r="A327" s="5" t="s">
        <v>927</v>
      </c>
      <c r="B327" s="7" t="s">
        <v>781</v>
      </c>
      <c r="C327" s="7" t="s">
        <v>417</v>
      </c>
      <c r="D327" s="6" t="s">
        <v>48</v>
      </c>
      <c r="E327" s="6" t="s">
        <v>49</v>
      </c>
      <c r="F327" s="6" t="s">
        <v>55</v>
      </c>
      <c r="G327" s="6" t="s">
        <v>5</v>
      </c>
      <c r="H327" s="6" t="s">
        <v>52</v>
      </c>
      <c r="I327" s="6" t="s">
        <v>52</v>
      </c>
      <c r="J327" s="6"/>
      <c r="K327" s="6"/>
      <c r="L327" s="6"/>
      <c r="M327" s="5" t="s">
        <v>61</v>
      </c>
      <c r="N327" s="5" t="s">
        <v>61</v>
      </c>
      <c r="O327" s="6" t="s">
        <v>54</v>
      </c>
    </row>
    <row r="328" spans="1:15" x14ac:dyDescent="0.35">
      <c r="A328" s="5" t="s">
        <v>857</v>
      </c>
      <c r="B328" s="6" t="s">
        <v>782</v>
      </c>
      <c r="C328" s="6" t="s">
        <v>418</v>
      </c>
      <c r="D328" s="7" t="s">
        <v>48</v>
      </c>
      <c r="E328" s="7" t="s">
        <v>49</v>
      </c>
      <c r="F328" s="7" t="s">
        <v>50</v>
      </c>
      <c r="G328" s="7" t="s">
        <v>5</v>
      </c>
      <c r="H328" s="7" t="s">
        <v>51</v>
      </c>
      <c r="I328" s="7" t="s">
        <v>52</v>
      </c>
      <c r="J328" s="7" t="s">
        <v>51</v>
      </c>
      <c r="K328" s="7" t="s">
        <v>51</v>
      </c>
      <c r="L328" s="7"/>
      <c r="M328" s="5" t="s">
        <v>67</v>
      </c>
      <c r="N328" s="5" t="s">
        <v>67</v>
      </c>
      <c r="O328" s="7" t="s">
        <v>54</v>
      </c>
    </row>
    <row r="329" spans="1:15" x14ac:dyDescent="0.35">
      <c r="A329" s="5" t="s">
        <v>893</v>
      </c>
      <c r="B329" s="6" t="s">
        <v>626</v>
      </c>
      <c r="C329" s="6" t="s">
        <v>262</v>
      </c>
      <c r="D329" s="6" t="s">
        <v>48</v>
      </c>
      <c r="E329" s="6" t="s">
        <v>49</v>
      </c>
      <c r="F329" s="6" t="s">
        <v>55</v>
      </c>
      <c r="G329" s="6" t="s">
        <v>26</v>
      </c>
      <c r="H329" s="6" t="s">
        <v>52</v>
      </c>
      <c r="I329" s="6" t="s">
        <v>52</v>
      </c>
      <c r="J329" s="6"/>
      <c r="K329" s="6"/>
      <c r="L329" s="6"/>
      <c r="M329" s="5" t="s">
        <v>67</v>
      </c>
      <c r="N329" s="5" t="s">
        <v>67</v>
      </c>
      <c r="O329" s="6" t="s">
        <v>54</v>
      </c>
    </row>
    <row r="330" spans="1:15" x14ac:dyDescent="0.35">
      <c r="A330" s="5" t="s">
        <v>877</v>
      </c>
      <c r="B330" s="7" t="s">
        <v>577</v>
      </c>
      <c r="C330" s="7" t="s">
        <v>213</v>
      </c>
      <c r="D330" s="7" t="s">
        <v>48</v>
      </c>
      <c r="E330" s="7" t="s">
        <v>49</v>
      </c>
      <c r="F330" s="7" t="s">
        <v>50</v>
      </c>
      <c r="G330" s="7" t="s">
        <v>26</v>
      </c>
      <c r="H330" s="7" t="s">
        <v>52</v>
      </c>
      <c r="I330" s="7" t="s">
        <v>52</v>
      </c>
      <c r="J330" s="7"/>
      <c r="K330" s="7"/>
      <c r="L330" s="7"/>
      <c r="M330" s="5" t="s">
        <v>63</v>
      </c>
      <c r="N330" s="5" t="s">
        <v>63</v>
      </c>
      <c r="O330" s="7" t="s">
        <v>54</v>
      </c>
    </row>
    <row r="331" spans="1:15" x14ac:dyDescent="0.35">
      <c r="A331" s="5" t="s">
        <v>843</v>
      </c>
      <c r="B331" s="6" t="s">
        <v>609</v>
      </c>
      <c r="C331" s="6" t="s">
        <v>245</v>
      </c>
      <c r="D331" s="6" t="s">
        <v>48</v>
      </c>
      <c r="E331" s="6" t="s">
        <v>49</v>
      </c>
      <c r="F331" s="6" t="s">
        <v>50</v>
      </c>
      <c r="G331" s="6" t="s">
        <v>9</v>
      </c>
      <c r="H331" s="6" t="s">
        <v>52</v>
      </c>
      <c r="I331" s="6" t="s">
        <v>52</v>
      </c>
      <c r="J331" s="6"/>
      <c r="K331" s="6"/>
      <c r="L331" s="6"/>
      <c r="M331" s="5" t="s">
        <v>67</v>
      </c>
      <c r="N331" s="5" t="s">
        <v>67</v>
      </c>
      <c r="O331" s="6" t="s">
        <v>54</v>
      </c>
    </row>
    <row r="332" spans="1:15" x14ac:dyDescent="0.35">
      <c r="A332" s="5" t="s">
        <v>838</v>
      </c>
      <c r="B332" s="6" t="s">
        <v>653</v>
      </c>
      <c r="C332" s="6" t="s">
        <v>289</v>
      </c>
      <c r="D332" s="7" t="s">
        <v>48</v>
      </c>
      <c r="E332" s="7" t="s">
        <v>49</v>
      </c>
      <c r="F332" s="7" t="s">
        <v>55</v>
      </c>
      <c r="G332" s="7" t="s">
        <v>9</v>
      </c>
      <c r="H332" s="7" t="s">
        <v>52</v>
      </c>
      <c r="I332" s="7" t="s">
        <v>52</v>
      </c>
      <c r="J332" s="7" t="s">
        <v>51</v>
      </c>
      <c r="K332" s="7" t="s">
        <v>51</v>
      </c>
      <c r="L332" s="7" t="s">
        <v>91</v>
      </c>
      <c r="M332" s="5" t="s">
        <v>61</v>
      </c>
      <c r="N332" s="5" t="s">
        <v>61</v>
      </c>
      <c r="O332" s="7" t="s">
        <v>54</v>
      </c>
    </row>
    <row r="333" spans="1:15" x14ac:dyDescent="0.35">
      <c r="A333" s="5" t="s">
        <v>931</v>
      </c>
      <c r="B333" s="6" t="s">
        <v>587</v>
      </c>
      <c r="C333" s="6" t="s">
        <v>223</v>
      </c>
      <c r="D333" s="6" t="s">
        <v>48</v>
      </c>
      <c r="E333" s="6" t="s">
        <v>49</v>
      </c>
      <c r="F333" s="6" t="s">
        <v>55</v>
      </c>
      <c r="G333" s="6" t="s">
        <v>9</v>
      </c>
      <c r="H333" s="6" t="s">
        <v>52</v>
      </c>
      <c r="I333" s="6" t="s">
        <v>60</v>
      </c>
      <c r="J333" s="6" t="s">
        <v>51</v>
      </c>
      <c r="K333" s="6" t="s">
        <v>51</v>
      </c>
      <c r="L333" s="6" t="s">
        <v>76</v>
      </c>
      <c r="M333" s="5" t="s">
        <v>61</v>
      </c>
      <c r="N333" s="5" t="s">
        <v>61</v>
      </c>
      <c r="O333" s="6" t="s">
        <v>54</v>
      </c>
    </row>
    <row r="334" spans="1:15" x14ac:dyDescent="0.35">
      <c r="A334" s="5" t="s">
        <v>932</v>
      </c>
      <c r="B334" s="6" t="s">
        <v>551</v>
      </c>
      <c r="C334" s="6" t="s">
        <v>187</v>
      </c>
      <c r="D334" s="7" t="s">
        <v>48</v>
      </c>
      <c r="E334" s="7" t="s">
        <v>49</v>
      </c>
      <c r="F334" s="7" t="s">
        <v>55</v>
      </c>
      <c r="G334" s="7" t="s">
        <v>29</v>
      </c>
      <c r="H334" s="7" t="s">
        <v>51</v>
      </c>
      <c r="I334" s="7" t="s">
        <v>60</v>
      </c>
      <c r="J334" s="7" t="s">
        <v>51</v>
      </c>
      <c r="K334" s="7" t="s">
        <v>51</v>
      </c>
      <c r="L334" s="7"/>
      <c r="M334" s="5" t="s">
        <v>73</v>
      </c>
      <c r="N334" s="5" t="s">
        <v>73</v>
      </c>
      <c r="O334" s="7" t="s">
        <v>54</v>
      </c>
    </row>
    <row r="335" spans="1:15" x14ac:dyDescent="0.35">
      <c r="A335" s="5" t="s">
        <v>846</v>
      </c>
      <c r="B335" s="7" t="s">
        <v>700</v>
      </c>
      <c r="C335" s="7" t="s">
        <v>336</v>
      </c>
      <c r="D335" s="6" t="s">
        <v>48</v>
      </c>
      <c r="E335" s="6" t="s">
        <v>49</v>
      </c>
      <c r="F335" s="6" t="s">
        <v>50</v>
      </c>
      <c r="G335" s="6" t="s">
        <v>9</v>
      </c>
      <c r="H335" s="6" t="s">
        <v>52</v>
      </c>
      <c r="I335" s="6" t="s">
        <v>52</v>
      </c>
      <c r="J335" s="6" t="s">
        <v>51</v>
      </c>
      <c r="K335" s="6"/>
      <c r="L335" s="6"/>
      <c r="M335" s="5" t="s">
        <v>57</v>
      </c>
      <c r="N335" s="5" t="s">
        <v>57</v>
      </c>
      <c r="O335" s="6" t="s">
        <v>54</v>
      </c>
    </row>
    <row r="336" spans="1:15" x14ac:dyDescent="0.35">
      <c r="A336" s="5" t="s">
        <v>841</v>
      </c>
      <c r="B336" s="6" t="s">
        <v>567</v>
      </c>
      <c r="C336" s="6" t="s">
        <v>203</v>
      </c>
      <c r="D336" s="7" t="s">
        <v>48</v>
      </c>
      <c r="E336" s="7" t="s">
        <v>49</v>
      </c>
      <c r="F336" s="7" t="s">
        <v>50</v>
      </c>
      <c r="G336" s="7" t="s">
        <v>5</v>
      </c>
      <c r="H336" s="7" t="s">
        <v>52</v>
      </c>
      <c r="I336" s="7" t="s">
        <v>52</v>
      </c>
      <c r="J336" s="7"/>
      <c r="K336" s="7"/>
      <c r="L336" s="7"/>
      <c r="M336" s="5" t="s">
        <v>57</v>
      </c>
      <c r="N336" s="5" t="s">
        <v>57</v>
      </c>
      <c r="O336" s="7" t="s">
        <v>54</v>
      </c>
    </row>
    <row r="337" spans="1:15" x14ac:dyDescent="0.35">
      <c r="A337" s="5" t="s">
        <v>842</v>
      </c>
      <c r="B337" s="6" t="s">
        <v>476</v>
      </c>
      <c r="C337" s="6" t="s">
        <v>112</v>
      </c>
      <c r="D337" s="7" t="s">
        <v>48</v>
      </c>
      <c r="E337" s="7" t="s">
        <v>49</v>
      </c>
      <c r="F337" s="7" t="s">
        <v>55</v>
      </c>
      <c r="G337" s="7" t="s">
        <v>18</v>
      </c>
      <c r="H337" s="7" t="s">
        <v>52</v>
      </c>
      <c r="I337" s="7" t="s">
        <v>52</v>
      </c>
      <c r="J337" s="7"/>
      <c r="K337" s="7"/>
      <c r="L337" s="7"/>
      <c r="M337" s="5" t="s">
        <v>57</v>
      </c>
      <c r="N337" s="5" t="s">
        <v>57</v>
      </c>
      <c r="O337" s="7" t="s">
        <v>54</v>
      </c>
    </row>
    <row r="338" spans="1:15" x14ac:dyDescent="0.35">
      <c r="A338" s="5" t="s">
        <v>841</v>
      </c>
      <c r="B338" s="7" t="s">
        <v>706</v>
      </c>
      <c r="C338" s="7" t="s">
        <v>342</v>
      </c>
      <c r="D338" s="6" t="s">
        <v>48</v>
      </c>
      <c r="E338" s="6" t="s">
        <v>49</v>
      </c>
      <c r="F338" s="6" t="s">
        <v>50</v>
      </c>
      <c r="G338" s="6" t="s">
        <v>13</v>
      </c>
      <c r="H338" s="6" t="s">
        <v>52</v>
      </c>
      <c r="I338" s="6" t="s">
        <v>52</v>
      </c>
      <c r="J338" s="6"/>
      <c r="K338" s="6"/>
      <c r="L338" s="6"/>
      <c r="M338" s="5" t="s">
        <v>57</v>
      </c>
      <c r="N338" s="5" t="s">
        <v>57</v>
      </c>
      <c r="O338" s="6" t="s">
        <v>54</v>
      </c>
    </row>
    <row r="339" spans="1:15" x14ac:dyDescent="0.35">
      <c r="A339" s="5" t="s">
        <v>933</v>
      </c>
      <c r="B339" s="7" t="s">
        <v>652</v>
      </c>
      <c r="C339" s="7" t="s">
        <v>288</v>
      </c>
      <c r="D339" s="6" t="s">
        <v>48</v>
      </c>
      <c r="E339" s="6" t="s">
        <v>49</v>
      </c>
      <c r="F339" s="6" t="s">
        <v>50</v>
      </c>
      <c r="G339" s="6" t="s">
        <v>5</v>
      </c>
      <c r="H339" s="6" t="s">
        <v>51</v>
      </c>
      <c r="I339" s="6" t="s">
        <v>52</v>
      </c>
      <c r="J339" s="6" t="s">
        <v>51</v>
      </c>
      <c r="K339" s="6" t="s">
        <v>51</v>
      </c>
      <c r="L339" s="6"/>
      <c r="M339" s="5" t="s">
        <v>90</v>
      </c>
      <c r="N339" s="5" t="s">
        <v>90</v>
      </c>
      <c r="O339" s="6" t="s">
        <v>54</v>
      </c>
    </row>
    <row r="340" spans="1:15" x14ac:dyDescent="0.35">
      <c r="A340" s="5" t="s">
        <v>881</v>
      </c>
      <c r="B340" s="7" t="s">
        <v>655</v>
      </c>
      <c r="C340" s="7" t="s">
        <v>291</v>
      </c>
      <c r="D340" s="7" t="s">
        <v>48</v>
      </c>
      <c r="E340" s="7" t="s">
        <v>49</v>
      </c>
      <c r="F340" s="7" t="s">
        <v>50</v>
      </c>
      <c r="G340" s="7" t="s">
        <v>9</v>
      </c>
      <c r="H340" s="7" t="s">
        <v>52</v>
      </c>
      <c r="I340" s="7" t="s">
        <v>52</v>
      </c>
      <c r="J340" s="7" t="s">
        <v>51</v>
      </c>
      <c r="K340" s="7"/>
      <c r="L340" s="7"/>
      <c r="M340" s="5" t="s">
        <v>67</v>
      </c>
      <c r="N340" s="5" t="s">
        <v>67</v>
      </c>
      <c r="O340" s="7" t="s">
        <v>54</v>
      </c>
    </row>
    <row r="341" spans="1:15" x14ac:dyDescent="0.35">
      <c r="A341" s="5" t="s">
        <v>860</v>
      </c>
      <c r="B341" s="7" t="s">
        <v>814</v>
      </c>
      <c r="C341" s="7" t="s">
        <v>450</v>
      </c>
      <c r="D341" s="6" t="s">
        <v>48</v>
      </c>
      <c r="E341" s="6" t="s">
        <v>49</v>
      </c>
      <c r="F341" s="6" t="s">
        <v>55</v>
      </c>
      <c r="G341" s="6" t="s">
        <v>5</v>
      </c>
      <c r="H341" s="6" t="s">
        <v>52</v>
      </c>
      <c r="I341" s="6" t="s">
        <v>52</v>
      </c>
      <c r="J341" s="6"/>
      <c r="K341" s="6"/>
      <c r="L341" s="6"/>
      <c r="M341" s="5" t="s">
        <v>63</v>
      </c>
      <c r="N341" s="5" t="s">
        <v>63</v>
      </c>
      <c r="O341" s="6" t="s">
        <v>54</v>
      </c>
    </row>
    <row r="342" spans="1:15" x14ac:dyDescent="0.35">
      <c r="A342" s="5" t="s">
        <v>891</v>
      </c>
      <c r="B342" s="7" t="s">
        <v>544</v>
      </c>
      <c r="C342" s="7" t="s">
        <v>180</v>
      </c>
      <c r="D342" s="6" t="s">
        <v>48</v>
      </c>
      <c r="E342" s="6" t="s">
        <v>49</v>
      </c>
      <c r="F342" s="6" t="s">
        <v>55</v>
      </c>
      <c r="G342" s="6" t="s">
        <v>29</v>
      </c>
      <c r="H342" s="6" t="s">
        <v>52</v>
      </c>
      <c r="I342" s="6" t="s">
        <v>52</v>
      </c>
      <c r="J342" s="6"/>
      <c r="K342" s="6"/>
      <c r="L342" s="6"/>
      <c r="M342" s="5" t="s">
        <v>63</v>
      </c>
      <c r="N342" s="5" t="s">
        <v>63</v>
      </c>
      <c r="O342" s="6" t="s">
        <v>54</v>
      </c>
    </row>
    <row r="343" spans="1:15" x14ac:dyDescent="0.35">
      <c r="A343" s="5" t="s">
        <v>850</v>
      </c>
      <c r="B343" s="6" t="s">
        <v>750</v>
      </c>
      <c r="C343" s="6" t="s">
        <v>386</v>
      </c>
      <c r="D343" s="7" t="s">
        <v>48</v>
      </c>
      <c r="E343" s="7" t="s">
        <v>49</v>
      </c>
      <c r="F343" s="7" t="s">
        <v>50</v>
      </c>
      <c r="G343" s="7" t="s">
        <v>25</v>
      </c>
      <c r="H343" s="7" t="s">
        <v>52</v>
      </c>
      <c r="I343" s="7" t="s">
        <v>52</v>
      </c>
      <c r="J343" s="7" t="s">
        <v>51</v>
      </c>
      <c r="K343" s="7"/>
      <c r="L343" s="7"/>
      <c r="M343" s="5" t="s">
        <v>57</v>
      </c>
      <c r="N343" s="5" t="s">
        <v>57</v>
      </c>
      <c r="O343" s="7" t="s">
        <v>54</v>
      </c>
    </row>
    <row r="344" spans="1:15" x14ac:dyDescent="0.35">
      <c r="A344" s="5" t="s">
        <v>851</v>
      </c>
      <c r="B344" s="6" t="s">
        <v>675</v>
      </c>
      <c r="C344" s="6" t="s">
        <v>311</v>
      </c>
      <c r="D344" s="6" t="s">
        <v>48</v>
      </c>
      <c r="E344" s="6" t="s">
        <v>49</v>
      </c>
      <c r="F344" s="6" t="s">
        <v>55</v>
      </c>
      <c r="G344" s="6" t="s">
        <v>20</v>
      </c>
      <c r="H344" s="6" t="s">
        <v>52</v>
      </c>
      <c r="I344" s="6" t="s">
        <v>52</v>
      </c>
      <c r="J344" s="6"/>
      <c r="K344" s="6"/>
      <c r="L344" s="6"/>
      <c r="M344" s="5" t="s">
        <v>67</v>
      </c>
      <c r="N344" s="5" t="s">
        <v>67</v>
      </c>
      <c r="O344" s="6" t="s">
        <v>54</v>
      </c>
    </row>
    <row r="345" spans="1:15" x14ac:dyDescent="0.35">
      <c r="A345" s="5" t="s">
        <v>831</v>
      </c>
      <c r="B345" s="7" t="s">
        <v>685</v>
      </c>
      <c r="C345" s="7" t="s">
        <v>321</v>
      </c>
      <c r="D345" s="7" t="s">
        <v>48</v>
      </c>
      <c r="E345" s="7" t="s">
        <v>49</v>
      </c>
      <c r="F345" s="7" t="s">
        <v>55</v>
      </c>
      <c r="G345" s="7" t="s">
        <v>21</v>
      </c>
      <c r="H345" s="7" t="s">
        <v>52</v>
      </c>
      <c r="I345" s="7" t="s">
        <v>52</v>
      </c>
      <c r="J345" s="7"/>
      <c r="K345" s="7"/>
      <c r="L345" s="7"/>
      <c r="M345" s="5" t="s">
        <v>59</v>
      </c>
      <c r="N345" s="5" t="s">
        <v>59</v>
      </c>
      <c r="O345" s="7" t="s">
        <v>54</v>
      </c>
    </row>
    <row r="346" spans="1:15" x14ac:dyDescent="0.35">
      <c r="A346" s="5" t="s">
        <v>906</v>
      </c>
      <c r="B346" s="6" t="s">
        <v>593</v>
      </c>
      <c r="C346" s="6" t="s">
        <v>229</v>
      </c>
      <c r="D346" s="6" t="s">
        <v>48</v>
      </c>
      <c r="E346" s="6" t="s">
        <v>49</v>
      </c>
      <c r="F346" s="6" t="s">
        <v>50</v>
      </c>
      <c r="G346" s="6" t="s">
        <v>9</v>
      </c>
      <c r="H346" s="6" t="s">
        <v>52</v>
      </c>
      <c r="I346" s="6" t="s">
        <v>60</v>
      </c>
      <c r="J346" s="6"/>
      <c r="K346" s="6"/>
      <c r="L346" s="6"/>
      <c r="M346" s="5" t="s">
        <v>56</v>
      </c>
      <c r="N346" s="5" t="s">
        <v>56</v>
      </c>
      <c r="O346" s="6" t="s">
        <v>54</v>
      </c>
    </row>
    <row r="347" spans="1:15" x14ac:dyDescent="0.35">
      <c r="A347" s="5" t="s">
        <v>839</v>
      </c>
      <c r="B347" s="7" t="s">
        <v>625</v>
      </c>
      <c r="C347" s="7" t="s">
        <v>261</v>
      </c>
      <c r="D347" s="7" t="s">
        <v>48</v>
      </c>
      <c r="E347" s="7" t="s">
        <v>49</v>
      </c>
      <c r="F347" s="7" t="s">
        <v>55</v>
      </c>
      <c r="G347" s="7" t="s">
        <v>10</v>
      </c>
      <c r="H347" s="7" t="s">
        <v>51</v>
      </c>
      <c r="I347" s="7" t="s">
        <v>52</v>
      </c>
      <c r="J347" s="7"/>
      <c r="K347" s="7"/>
      <c r="L347" s="7"/>
      <c r="M347" s="5" t="s">
        <v>59</v>
      </c>
      <c r="N347" s="5" t="s">
        <v>59</v>
      </c>
      <c r="O347" s="7" t="s">
        <v>54</v>
      </c>
    </row>
    <row r="348" spans="1:15" x14ac:dyDescent="0.35">
      <c r="A348" s="5" t="s">
        <v>855</v>
      </c>
      <c r="B348" s="6" t="s">
        <v>711</v>
      </c>
      <c r="C348" s="6" t="s">
        <v>347</v>
      </c>
      <c r="D348" s="6" t="s">
        <v>48</v>
      </c>
      <c r="E348" s="6" t="s">
        <v>49</v>
      </c>
      <c r="F348" s="6" t="s">
        <v>55</v>
      </c>
      <c r="G348" s="6" t="s">
        <v>31</v>
      </c>
      <c r="H348" s="6" t="s">
        <v>52</v>
      </c>
      <c r="I348" s="6" t="s">
        <v>52</v>
      </c>
      <c r="J348" s="6"/>
      <c r="K348" s="6"/>
      <c r="L348" s="6"/>
      <c r="M348" s="5" t="s">
        <v>57</v>
      </c>
      <c r="N348" s="5" t="s">
        <v>57</v>
      </c>
      <c r="O348" s="6" t="s">
        <v>54</v>
      </c>
    </row>
    <row r="349" spans="1:15" x14ac:dyDescent="0.35">
      <c r="A349" s="5" t="s">
        <v>934</v>
      </c>
      <c r="B349" s="7" t="s">
        <v>616</v>
      </c>
      <c r="C349" s="7" t="s">
        <v>252</v>
      </c>
      <c r="D349" s="7" t="s">
        <v>48</v>
      </c>
      <c r="E349" s="7" t="s">
        <v>49</v>
      </c>
      <c r="F349" s="7" t="s">
        <v>50</v>
      </c>
      <c r="G349" s="7" t="s">
        <v>5</v>
      </c>
      <c r="H349" s="7" t="s">
        <v>52</v>
      </c>
      <c r="I349" s="7" t="s">
        <v>52</v>
      </c>
      <c r="J349" s="7"/>
      <c r="K349" s="7"/>
      <c r="L349" s="7"/>
      <c r="M349" s="5" t="s">
        <v>85</v>
      </c>
      <c r="N349" s="5" t="s">
        <v>85</v>
      </c>
      <c r="O349" s="7" t="s">
        <v>54</v>
      </c>
    </row>
    <row r="350" spans="1:15" x14ac:dyDescent="0.35">
      <c r="A350" s="5" t="s">
        <v>832</v>
      </c>
      <c r="B350" s="7" t="s">
        <v>811</v>
      </c>
      <c r="C350" s="7" t="s">
        <v>447</v>
      </c>
      <c r="D350" s="7" t="s">
        <v>48</v>
      </c>
      <c r="E350" s="7" t="s">
        <v>49</v>
      </c>
      <c r="F350" s="7" t="s">
        <v>50</v>
      </c>
      <c r="G350" s="7" t="s">
        <v>26</v>
      </c>
      <c r="H350" s="7" t="s">
        <v>52</v>
      </c>
      <c r="I350" s="7" t="s">
        <v>52</v>
      </c>
      <c r="J350" s="7" t="s">
        <v>51</v>
      </c>
      <c r="K350" s="7"/>
      <c r="L350" s="7"/>
      <c r="M350" s="5" t="s">
        <v>59</v>
      </c>
      <c r="N350" s="5" t="s">
        <v>59</v>
      </c>
      <c r="O350" s="7" t="s">
        <v>54</v>
      </c>
    </row>
    <row r="351" spans="1:15" x14ac:dyDescent="0.35">
      <c r="A351" s="5" t="s">
        <v>935</v>
      </c>
      <c r="B351" s="6" t="s">
        <v>651</v>
      </c>
      <c r="C351" s="6" t="s">
        <v>287</v>
      </c>
      <c r="D351" s="7" t="s">
        <v>48</v>
      </c>
      <c r="E351" s="7" t="s">
        <v>49</v>
      </c>
      <c r="F351" s="7" t="s">
        <v>50</v>
      </c>
      <c r="G351" s="7" t="s">
        <v>5</v>
      </c>
      <c r="H351" s="7" t="s">
        <v>52</v>
      </c>
      <c r="I351" s="7" t="s">
        <v>52</v>
      </c>
      <c r="J351" s="7" t="s">
        <v>51</v>
      </c>
      <c r="K351" s="7"/>
      <c r="L351" s="7"/>
      <c r="M351" s="5" t="s">
        <v>74</v>
      </c>
      <c r="N351" s="5" t="s">
        <v>74</v>
      </c>
      <c r="O351" s="7" t="s">
        <v>54</v>
      </c>
    </row>
    <row r="352" spans="1:15" x14ac:dyDescent="0.35">
      <c r="A352" s="5" t="s">
        <v>844</v>
      </c>
      <c r="B352" s="7" t="s">
        <v>736</v>
      </c>
      <c r="C352" s="7" t="s">
        <v>372</v>
      </c>
      <c r="D352" s="7" t="s">
        <v>48</v>
      </c>
      <c r="E352" s="7" t="s">
        <v>49</v>
      </c>
      <c r="F352" s="7" t="s">
        <v>50</v>
      </c>
      <c r="G352" s="7" t="s">
        <v>29</v>
      </c>
      <c r="H352" s="7" t="s">
        <v>52</v>
      </c>
      <c r="I352" s="7" t="s">
        <v>52</v>
      </c>
      <c r="J352" s="7"/>
      <c r="K352" s="7"/>
      <c r="L352" s="7"/>
      <c r="M352" s="5" t="s">
        <v>63</v>
      </c>
      <c r="N352" s="5" t="s">
        <v>63</v>
      </c>
      <c r="O352" s="7" t="s">
        <v>54</v>
      </c>
    </row>
    <row r="353" spans="1:15" x14ac:dyDescent="0.35">
      <c r="A353" s="5" t="s">
        <v>900</v>
      </c>
      <c r="B353" s="7" t="s">
        <v>793</v>
      </c>
      <c r="C353" s="7" t="s">
        <v>429</v>
      </c>
      <c r="D353" s="7" t="s">
        <v>48</v>
      </c>
      <c r="E353" s="7" t="s">
        <v>49</v>
      </c>
      <c r="F353" s="7" t="s">
        <v>50</v>
      </c>
      <c r="G353" s="7" t="s">
        <v>26</v>
      </c>
      <c r="H353" s="7" t="s">
        <v>51</v>
      </c>
      <c r="I353" s="7" t="s">
        <v>52</v>
      </c>
      <c r="J353" s="7" t="s">
        <v>51</v>
      </c>
      <c r="K353" s="7" t="s">
        <v>58</v>
      </c>
      <c r="L353" s="7"/>
      <c r="M353" s="5" t="s">
        <v>69</v>
      </c>
      <c r="N353" s="5" t="s">
        <v>69</v>
      </c>
      <c r="O353" s="7" t="s">
        <v>54</v>
      </c>
    </row>
    <row r="354" spans="1:15" x14ac:dyDescent="0.35">
      <c r="A354" s="5" t="s">
        <v>836</v>
      </c>
      <c r="B354" s="6" t="s">
        <v>647</v>
      </c>
      <c r="C354" s="6" t="s">
        <v>283</v>
      </c>
      <c r="D354" s="7" t="s">
        <v>48</v>
      </c>
      <c r="E354" s="7" t="s">
        <v>49</v>
      </c>
      <c r="F354" s="7" t="s">
        <v>50</v>
      </c>
      <c r="G354" s="7" t="s">
        <v>14</v>
      </c>
      <c r="H354" s="7" t="s">
        <v>52</v>
      </c>
      <c r="I354" s="7" t="s">
        <v>52</v>
      </c>
      <c r="J354" s="7"/>
      <c r="K354" s="7"/>
      <c r="L354" s="7"/>
      <c r="M354" s="5" t="s">
        <v>63</v>
      </c>
      <c r="N354" s="5" t="s">
        <v>63</v>
      </c>
      <c r="O354" s="7" t="s">
        <v>54</v>
      </c>
    </row>
    <row r="355" spans="1:15" x14ac:dyDescent="0.35">
      <c r="A355" s="5" t="s">
        <v>898</v>
      </c>
      <c r="B355" s="6" t="s">
        <v>539</v>
      </c>
      <c r="C355" s="6" t="s">
        <v>175</v>
      </c>
      <c r="D355" s="7" t="s">
        <v>48</v>
      </c>
      <c r="E355" s="7" t="s">
        <v>49</v>
      </c>
      <c r="F355" s="7" t="s">
        <v>55</v>
      </c>
      <c r="G355" s="7" t="s">
        <v>19</v>
      </c>
      <c r="H355" s="7" t="s">
        <v>52</v>
      </c>
      <c r="I355" s="7" t="s">
        <v>60</v>
      </c>
      <c r="J355" s="7" t="s">
        <v>51</v>
      </c>
      <c r="K355" s="7"/>
      <c r="L355" s="7"/>
      <c r="M355" s="5" t="s">
        <v>61</v>
      </c>
      <c r="N355" s="5" t="s">
        <v>61</v>
      </c>
      <c r="O355" s="7" t="s">
        <v>54</v>
      </c>
    </row>
    <row r="356" spans="1:15" x14ac:dyDescent="0.35">
      <c r="A356" s="5" t="s">
        <v>870</v>
      </c>
      <c r="B356" s="6" t="s">
        <v>765</v>
      </c>
      <c r="C356" s="6" t="s">
        <v>401</v>
      </c>
      <c r="D356" s="6" t="s">
        <v>48</v>
      </c>
      <c r="E356" s="6" t="s">
        <v>49</v>
      </c>
      <c r="F356" s="6" t="s">
        <v>50</v>
      </c>
      <c r="G356" s="6" t="s">
        <v>9</v>
      </c>
      <c r="H356" s="6" t="s">
        <v>52</v>
      </c>
      <c r="I356" s="6" t="s">
        <v>52</v>
      </c>
      <c r="J356" s="6"/>
      <c r="K356" s="6"/>
      <c r="L356" s="6"/>
      <c r="M356" s="5" t="s">
        <v>67</v>
      </c>
      <c r="N356" s="5" t="s">
        <v>67</v>
      </c>
      <c r="O356" s="6" t="s">
        <v>54</v>
      </c>
    </row>
    <row r="357" spans="1:15" x14ac:dyDescent="0.35">
      <c r="A357" s="5" t="s">
        <v>891</v>
      </c>
      <c r="B357" s="6" t="s">
        <v>581</v>
      </c>
      <c r="C357" s="6" t="s">
        <v>217</v>
      </c>
      <c r="D357" s="7" t="s">
        <v>48</v>
      </c>
      <c r="E357" s="7" t="s">
        <v>49</v>
      </c>
      <c r="F357" s="7" t="s">
        <v>55</v>
      </c>
      <c r="G357" s="7" t="s">
        <v>26</v>
      </c>
      <c r="H357" s="7" t="s">
        <v>52</v>
      </c>
      <c r="I357" s="7" t="s">
        <v>52</v>
      </c>
      <c r="J357" s="7"/>
      <c r="K357" s="7"/>
      <c r="L357" s="7"/>
      <c r="M357" s="5" t="s">
        <v>63</v>
      </c>
      <c r="N357" s="5" t="s">
        <v>63</v>
      </c>
      <c r="O357" s="7" t="s">
        <v>54</v>
      </c>
    </row>
    <row r="358" spans="1:15" x14ac:dyDescent="0.35">
      <c r="A358" s="5" t="s">
        <v>833</v>
      </c>
      <c r="B358" s="6" t="s">
        <v>753</v>
      </c>
      <c r="C358" s="6" t="s">
        <v>389</v>
      </c>
      <c r="D358" s="6" t="s">
        <v>48</v>
      </c>
      <c r="E358" s="6" t="s">
        <v>49</v>
      </c>
      <c r="F358" s="6" t="s">
        <v>55</v>
      </c>
      <c r="G358" s="6" t="s">
        <v>5</v>
      </c>
      <c r="H358" s="6" t="s">
        <v>51</v>
      </c>
      <c r="I358" s="6" t="s">
        <v>60</v>
      </c>
      <c r="J358" s="6" t="s">
        <v>51</v>
      </c>
      <c r="K358" s="6"/>
      <c r="L358" s="6"/>
      <c r="M358" s="5" t="s">
        <v>59</v>
      </c>
      <c r="N358" s="5" t="s">
        <v>59</v>
      </c>
      <c r="O358" s="6" t="s">
        <v>54</v>
      </c>
    </row>
    <row r="359" spans="1:15" x14ac:dyDescent="0.35">
      <c r="A359" s="5" t="s">
        <v>867</v>
      </c>
      <c r="B359" s="6" t="s">
        <v>537</v>
      </c>
      <c r="C359" s="6" t="s">
        <v>173</v>
      </c>
      <c r="D359" s="7" t="s">
        <v>48</v>
      </c>
      <c r="E359" s="7" t="s">
        <v>49</v>
      </c>
      <c r="F359" s="7" t="s">
        <v>50</v>
      </c>
      <c r="G359" s="7" t="s">
        <v>9</v>
      </c>
      <c r="H359" s="7" t="s">
        <v>52</v>
      </c>
      <c r="I359" s="7" t="s">
        <v>52</v>
      </c>
      <c r="J359" s="7"/>
      <c r="K359" s="7"/>
      <c r="L359" s="7"/>
      <c r="M359" s="5" t="s">
        <v>63</v>
      </c>
      <c r="N359" s="5" t="s">
        <v>63</v>
      </c>
      <c r="O359" s="7" t="s">
        <v>54</v>
      </c>
    </row>
    <row r="360" spans="1:15" x14ac:dyDescent="0.35">
      <c r="A360" s="5" t="s">
        <v>833</v>
      </c>
      <c r="B360" s="6" t="s">
        <v>758</v>
      </c>
      <c r="C360" s="6" t="s">
        <v>394</v>
      </c>
      <c r="D360" s="7" t="s">
        <v>48</v>
      </c>
      <c r="E360" s="7" t="s">
        <v>49</v>
      </c>
      <c r="F360" s="7" t="s">
        <v>55</v>
      </c>
      <c r="G360" s="7" t="s">
        <v>9</v>
      </c>
      <c r="H360" s="7" t="s">
        <v>52</v>
      </c>
      <c r="I360" s="7" t="s">
        <v>52</v>
      </c>
      <c r="J360" s="7"/>
      <c r="K360" s="7"/>
      <c r="L360" s="7"/>
      <c r="M360" s="5" t="s">
        <v>59</v>
      </c>
      <c r="N360" s="5" t="s">
        <v>59</v>
      </c>
      <c r="O360" s="7" t="s">
        <v>54</v>
      </c>
    </row>
    <row r="361" spans="1:15" x14ac:dyDescent="0.35">
      <c r="A361" s="5" t="s">
        <v>936</v>
      </c>
      <c r="B361" s="6" t="s">
        <v>819</v>
      </c>
      <c r="C361" s="6" t="s">
        <v>455</v>
      </c>
      <c r="D361" s="7" t="s">
        <v>48</v>
      </c>
      <c r="E361" s="7" t="s">
        <v>49</v>
      </c>
      <c r="F361" s="7" t="s">
        <v>55</v>
      </c>
      <c r="G361" s="7" t="s">
        <v>17</v>
      </c>
      <c r="H361" s="7" t="s">
        <v>52</v>
      </c>
      <c r="I361" s="7" t="s">
        <v>60</v>
      </c>
      <c r="J361" s="7"/>
      <c r="K361" s="7"/>
      <c r="L361" s="7"/>
      <c r="M361" s="5" t="s">
        <v>66</v>
      </c>
      <c r="N361" s="5" t="s">
        <v>66</v>
      </c>
      <c r="O361" s="7" t="s">
        <v>54</v>
      </c>
    </row>
    <row r="362" spans="1:15" x14ac:dyDescent="0.35">
      <c r="A362" s="5" t="s">
        <v>937</v>
      </c>
      <c r="B362" s="7" t="s">
        <v>748</v>
      </c>
      <c r="C362" s="7" t="s">
        <v>384</v>
      </c>
      <c r="D362" s="7" t="s">
        <v>48</v>
      </c>
      <c r="E362" s="7" t="s">
        <v>49</v>
      </c>
      <c r="F362" s="7" t="s">
        <v>50</v>
      </c>
      <c r="G362" s="7" t="s">
        <v>26</v>
      </c>
      <c r="H362" s="7" t="s">
        <v>51</v>
      </c>
      <c r="I362" s="7" t="s">
        <v>52</v>
      </c>
      <c r="J362" s="7" t="s">
        <v>51</v>
      </c>
      <c r="K362" s="7"/>
      <c r="L362" s="7"/>
      <c r="M362" s="5" t="s">
        <v>77</v>
      </c>
      <c r="N362" s="5" t="s">
        <v>77</v>
      </c>
      <c r="O362" s="7" t="s">
        <v>54</v>
      </c>
    </row>
    <row r="363" spans="1:15" x14ac:dyDescent="0.35">
      <c r="A363" s="5" t="s">
        <v>913</v>
      </c>
      <c r="B363" s="6" t="s">
        <v>560</v>
      </c>
      <c r="C363" s="6" t="s">
        <v>196</v>
      </c>
      <c r="D363" s="6" t="s">
        <v>48</v>
      </c>
      <c r="E363" s="6" t="s">
        <v>49</v>
      </c>
      <c r="F363" s="6" t="s">
        <v>50</v>
      </c>
      <c r="G363" s="6" t="s">
        <v>17</v>
      </c>
      <c r="H363" s="6" t="s">
        <v>52</v>
      </c>
      <c r="I363" s="6" t="s">
        <v>52</v>
      </c>
      <c r="J363" s="6" t="s">
        <v>51</v>
      </c>
      <c r="K363" s="6" t="s">
        <v>51</v>
      </c>
      <c r="L363" s="6"/>
      <c r="M363" s="5" t="s">
        <v>75</v>
      </c>
      <c r="N363" s="5" t="s">
        <v>75</v>
      </c>
      <c r="O363" s="6" t="s">
        <v>54</v>
      </c>
    </row>
    <row r="364" spans="1:15" x14ac:dyDescent="0.35">
      <c r="A364" s="5" t="s">
        <v>938</v>
      </c>
      <c r="B364" s="6" t="s">
        <v>776</v>
      </c>
      <c r="C364" s="6" t="s">
        <v>412</v>
      </c>
      <c r="D364" s="7" t="s">
        <v>48</v>
      </c>
      <c r="E364" s="7" t="s">
        <v>49</v>
      </c>
      <c r="F364" s="7" t="s">
        <v>55</v>
      </c>
      <c r="G364" s="7" t="s">
        <v>17</v>
      </c>
      <c r="H364" s="7" t="s">
        <v>52</v>
      </c>
      <c r="I364" s="7" t="s">
        <v>52</v>
      </c>
      <c r="J364" s="7" t="s">
        <v>51</v>
      </c>
      <c r="K364" s="7" t="s">
        <v>51</v>
      </c>
      <c r="L364" s="7"/>
      <c r="M364" s="5" t="s">
        <v>84</v>
      </c>
      <c r="N364" s="5" t="s">
        <v>84</v>
      </c>
      <c r="O364" s="7" t="s">
        <v>54</v>
      </c>
    </row>
    <row r="365" spans="1:15" x14ac:dyDescent="0.35">
      <c r="A365" s="5" t="s">
        <v>846</v>
      </c>
      <c r="B365" s="6" t="s">
        <v>662</v>
      </c>
      <c r="C365" s="6" t="s">
        <v>298</v>
      </c>
      <c r="D365" s="7" t="s">
        <v>48</v>
      </c>
      <c r="E365" s="7" t="s">
        <v>49</v>
      </c>
      <c r="F365" s="7" t="s">
        <v>50</v>
      </c>
      <c r="G365" s="7" t="s">
        <v>8</v>
      </c>
      <c r="H365" s="7" t="s">
        <v>51</v>
      </c>
      <c r="I365" s="7" t="s">
        <v>52</v>
      </c>
      <c r="J365" s="7" t="s">
        <v>51</v>
      </c>
      <c r="K365" s="7" t="s">
        <v>51</v>
      </c>
      <c r="L365" s="7"/>
      <c r="M365" s="5" t="s">
        <v>57</v>
      </c>
      <c r="N365" s="5" t="s">
        <v>57</v>
      </c>
      <c r="O365" s="7" t="s">
        <v>54</v>
      </c>
    </row>
    <row r="366" spans="1:15" x14ac:dyDescent="0.35">
      <c r="A366" s="4"/>
      <c r="B366" s="4"/>
      <c r="C366" s="4"/>
      <c r="D366" s="4"/>
      <c r="E366" s="4"/>
      <c r="F366" s="4"/>
      <c r="G366" s="4"/>
      <c r="H366" s="4"/>
      <c r="I366" s="4"/>
      <c r="J366" s="4"/>
      <c r="K366" s="4"/>
      <c r="L366" s="4"/>
      <c r="M366" s="4"/>
      <c r="N366" s="4"/>
      <c r="O366" s="4"/>
    </row>
    <row r="367" spans="1:15" x14ac:dyDescent="0.35">
      <c r="A367" s="1"/>
      <c r="B367" s="1"/>
      <c r="C367" s="1"/>
      <c r="D367" s="1"/>
      <c r="E367" s="1"/>
      <c r="F367" s="1"/>
      <c r="G367" s="1"/>
      <c r="H367" s="1"/>
      <c r="I367" s="1"/>
      <c r="J367" s="1"/>
      <c r="K367" s="1"/>
      <c r="L367" s="1"/>
      <c r="M367" s="1"/>
      <c r="N367" s="1"/>
      <c r="O367" s="1"/>
    </row>
    <row r="368" spans="1:15" x14ac:dyDescent="0.35">
      <c r="A368" s="2"/>
      <c r="B368" s="2"/>
      <c r="C368" s="2"/>
      <c r="D368" s="2"/>
      <c r="E368" s="2"/>
      <c r="F368" s="2"/>
      <c r="G368" s="2"/>
      <c r="H368" s="2"/>
      <c r="I368" s="2"/>
      <c r="J368" s="2"/>
      <c r="K368" s="2"/>
      <c r="L368" s="2"/>
      <c r="M368" s="2"/>
      <c r="N368" s="2"/>
      <c r="O368" s="2"/>
    </row>
    <row r="369" spans="1:15" x14ac:dyDescent="0.35">
      <c r="A369" s="1"/>
      <c r="B369" s="1"/>
      <c r="C369" s="1"/>
      <c r="D369" s="1"/>
      <c r="E369" s="1"/>
      <c r="F369" s="1"/>
      <c r="G369" s="1"/>
      <c r="H369" s="1"/>
      <c r="I369" s="1"/>
      <c r="J369" s="1"/>
      <c r="K369" s="1"/>
      <c r="L369" s="1"/>
      <c r="M369" s="1"/>
      <c r="N369" s="1"/>
      <c r="O369" s="1"/>
    </row>
    <row r="370" spans="1:15" x14ac:dyDescent="0.35">
      <c r="A370" s="2"/>
      <c r="B370" s="2"/>
      <c r="C370" s="2"/>
      <c r="D370" s="2"/>
      <c r="E370" s="2"/>
      <c r="F370" s="2"/>
      <c r="G370" s="2"/>
      <c r="H370" s="2"/>
      <c r="I370" s="2"/>
      <c r="J370" s="2"/>
      <c r="K370" s="2"/>
      <c r="L370" s="2"/>
      <c r="M370" s="2"/>
      <c r="N370" s="2"/>
      <c r="O370" s="2"/>
    </row>
    <row r="371" spans="1:15" x14ac:dyDescent="0.35">
      <c r="A371" s="1"/>
      <c r="B371" s="1"/>
      <c r="C371" s="1"/>
      <c r="D371" s="1"/>
      <c r="E371" s="1"/>
      <c r="F371" s="1"/>
      <c r="G371" s="1"/>
      <c r="H371" s="1"/>
      <c r="I371" s="1"/>
      <c r="J371" s="1"/>
      <c r="K371" s="1"/>
      <c r="L371" s="1"/>
      <c r="M371" s="1"/>
      <c r="N371" s="1"/>
      <c r="O371" s="1"/>
    </row>
    <row r="372" spans="1:15" x14ac:dyDescent="0.35">
      <c r="A372" s="2"/>
      <c r="B372" s="2"/>
      <c r="C372" s="2"/>
      <c r="D372" s="2"/>
      <c r="E372" s="2"/>
      <c r="F372" s="2"/>
      <c r="G372" s="2"/>
      <c r="H372" s="2"/>
      <c r="I372" s="2"/>
      <c r="J372" s="2"/>
      <c r="K372" s="2"/>
      <c r="L372" s="2"/>
      <c r="M372" s="2"/>
      <c r="N372" s="2"/>
      <c r="O372" s="2"/>
    </row>
    <row r="373" spans="1:15" x14ac:dyDescent="0.35">
      <c r="A373" s="1"/>
      <c r="B373" s="1"/>
      <c r="C373" s="1"/>
      <c r="D373" s="1"/>
      <c r="E373" s="1"/>
      <c r="F373" s="1"/>
      <c r="G373" s="1"/>
      <c r="H373" s="1"/>
      <c r="I373" s="1"/>
      <c r="J373" s="1"/>
      <c r="K373" s="1"/>
      <c r="L373" s="1"/>
      <c r="M373" s="1"/>
      <c r="N373" s="1"/>
      <c r="O373" s="1"/>
    </row>
    <row r="374" spans="1:15" x14ac:dyDescent="0.35">
      <c r="A374" s="2"/>
      <c r="B374" s="2"/>
      <c r="C374" s="2"/>
      <c r="D374" s="2"/>
      <c r="E374" s="2"/>
      <c r="F374" s="2"/>
      <c r="G374" s="2"/>
      <c r="H374" s="2"/>
      <c r="I374" s="2"/>
      <c r="J374" s="2"/>
      <c r="K374" s="2"/>
      <c r="L374" s="2"/>
      <c r="M374" s="2"/>
      <c r="N374" s="2"/>
      <c r="O374" s="2"/>
    </row>
    <row r="375" spans="1:15" x14ac:dyDescent="0.35">
      <c r="A375" s="1"/>
      <c r="B375" s="1"/>
      <c r="C375" s="1"/>
      <c r="D375" s="1"/>
      <c r="E375" s="1"/>
      <c r="F375" s="1"/>
      <c r="G375" s="1"/>
      <c r="H375" s="1"/>
      <c r="I375" s="1"/>
      <c r="J375" s="1"/>
      <c r="K375" s="1"/>
      <c r="L375" s="1"/>
      <c r="M375" s="1"/>
      <c r="N375" s="1"/>
      <c r="O375" s="1"/>
    </row>
  </sheetData>
  <autoFilter ref="A1:O365" xr:uid="{0CFE7597-8BB1-4843-8006-B94405E5A7BA}">
    <sortState xmlns:xlrd2="http://schemas.microsoft.com/office/spreadsheetml/2017/richdata2" ref="A2:O365">
      <sortCondition ref="A1:A365"/>
    </sortState>
  </autoFilter>
  <phoneticPr fontId="2" type="noConversion"/>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CECE3-FFA5-496C-8829-01BAD7D0C8D4}">
  <sheetPr>
    <tabColor rgb="FF5E0009"/>
  </sheetPr>
  <dimension ref="A1:O365"/>
  <sheetViews>
    <sheetView workbookViewId="0">
      <selection activeCell="J13" sqref="J13"/>
    </sheetView>
  </sheetViews>
  <sheetFormatPr defaultRowHeight="14.5" x14ac:dyDescent="0.35"/>
  <cols>
    <col min="1" max="1" width="18.90625" customWidth="1"/>
    <col min="2" max="2" width="11.7265625" customWidth="1"/>
    <col min="3" max="3" width="15.1796875" customWidth="1"/>
    <col min="4" max="4" width="13.6328125" customWidth="1"/>
    <col min="5" max="5" width="10.90625" customWidth="1"/>
    <col min="6" max="6" width="7.08984375" bestFit="1" customWidth="1"/>
    <col min="7" max="7" width="29.7265625" bestFit="1" customWidth="1"/>
    <col min="8" max="8" width="22.81640625" customWidth="1"/>
    <col min="9" max="9" width="14" bestFit="1" customWidth="1"/>
    <col min="10" max="10" width="10.54296875" customWidth="1"/>
    <col min="11" max="11" width="7.90625" bestFit="1" customWidth="1"/>
    <col min="12" max="12" width="17.1796875" bestFit="1" customWidth="1"/>
    <col min="13" max="13" width="21.54296875" bestFit="1" customWidth="1"/>
    <col min="14" max="14" width="22.26953125" customWidth="1"/>
    <col min="15" max="15" width="13.54296875" customWidth="1"/>
  </cols>
  <sheetData>
    <row r="1" spans="1:15" x14ac:dyDescent="0.35">
      <c r="A1" s="9" t="s">
        <v>33</v>
      </c>
      <c r="B1" s="9" t="s">
        <v>34</v>
      </c>
      <c r="C1" s="9" t="s">
        <v>35</v>
      </c>
      <c r="D1" s="9" t="s">
        <v>36</v>
      </c>
      <c r="E1" s="9" t="s">
        <v>37</v>
      </c>
      <c r="F1" s="9" t="s">
        <v>38</v>
      </c>
      <c r="G1" s="9" t="s">
        <v>39</v>
      </c>
      <c r="H1" s="9" t="s">
        <v>40</v>
      </c>
      <c r="I1" s="9" t="s">
        <v>41</v>
      </c>
      <c r="J1" s="9" t="s">
        <v>42</v>
      </c>
      <c r="K1" s="9" t="s">
        <v>43</v>
      </c>
      <c r="L1" s="9" t="s">
        <v>44</v>
      </c>
      <c r="M1" s="9" t="s">
        <v>45</v>
      </c>
      <c r="N1" s="9" t="s">
        <v>46</v>
      </c>
      <c r="O1" s="9" t="s">
        <v>47</v>
      </c>
    </row>
    <row r="2" spans="1:15" x14ac:dyDescent="0.35">
      <c r="A2" s="5" t="s">
        <v>829</v>
      </c>
      <c r="B2" s="6" t="s">
        <v>669</v>
      </c>
      <c r="C2" s="6" t="s">
        <v>305</v>
      </c>
      <c r="D2" s="6" t="s">
        <v>48</v>
      </c>
      <c r="E2" s="6" t="s">
        <v>49</v>
      </c>
      <c r="F2" s="6" t="s">
        <v>55</v>
      </c>
      <c r="G2" s="6" t="s">
        <v>6</v>
      </c>
      <c r="H2" s="6" t="s">
        <v>51</v>
      </c>
      <c r="I2" s="6" t="s">
        <v>52</v>
      </c>
      <c r="J2" s="6" t="s">
        <v>51</v>
      </c>
      <c r="K2" s="6" t="s">
        <v>51</v>
      </c>
      <c r="L2" s="6"/>
      <c r="M2" s="5" t="s">
        <v>56</v>
      </c>
      <c r="N2" s="5" t="s">
        <v>56</v>
      </c>
      <c r="O2" s="6" t="s">
        <v>54</v>
      </c>
    </row>
    <row r="3" spans="1:15" x14ac:dyDescent="0.35">
      <c r="A3" s="5" t="s">
        <v>830</v>
      </c>
      <c r="B3" s="6" t="s">
        <v>812</v>
      </c>
      <c r="C3" s="6" t="s">
        <v>448</v>
      </c>
      <c r="D3" s="6" t="s">
        <v>48</v>
      </c>
      <c r="E3" s="6" t="s">
        <v>49</v>
      </c>
      <c r="F3" s="6" t="s">
        <v>55</v>
      </c>
      <c r="G3" s="6" t="s">
        <v>17</v>
      </c>
      <c r="H3" s="6" t="s">
        <v>52</v>
      </c>
      <c r="I3" s="6" t="s">
        <v>52</v>
      </c>
      <c r="J3" s="6"/>
      <c r="K3" s="6"/>
      <c r="L3" s="6"/>
      <c r="M3" s="5" t="s">
        <v>56</v>
      </c>
      <c r="N3" s="5" t="s">
        <v>56</v>
      </c>
      <c r="O3" s="6" t="s">
        <v>54</v>
      </c>
    </row>
    <row r="4" spans="1:15" x14ac:dyDescent="0.35">
      <c r="A4" s="5" t="s">
        <v>831</v>
      </c>
      <c r="B4" s="6" t="s">
        <v>561</v>
      </c>
      <c r="C4" s="6" t="s">
        <v>197</v>
      </c>
      <c r="D4" s="7" t="s">
        <v>48</v>
      </c>
      <c r="E4" s="7" t="s">
        <v>49</v>
      </c>
      <c r="F4" s="7" t="s">
        <v>55</v>
      </c>
      <c r="G4" s="7" t="s">
        <v>17</v>
      </c>
      <c r="H4" s="7" t="s">
        <v>52</v>
      </c>
      <c r="I4" s="7" t="s">
        <v>52</v>
      </c>
      <c r="J4" s="7" t="s">
        <v>51</v>
      </c>
      <c r="K4" s="7" t="s">
        <v>51</v>
      </c>
      <c r="L4" s="7" t="s">
        <v>76</v>
      </c>
      <c r="M4" s="5" t="s">
        <v>59</v>
      </c>
      <c r="N4" s="5" t="s">
        <v>59</v>
      </c>
      <c r="O4" s="7" t="s">
        <v>54</v>
      </c>
    </row>
    <row r="5" spans="1:15" x14ac:dyDescent="0.35">
      <c r="A5" s="5" t="s">
        <v>832</v>
      </c>
      <c r="B5" s="6" t="s">
        <v>488</v>
      </c>
      <c r="C5" s="6" t="s">
        <v>124</v>
      </c>
      <c r="D5" s="7" t="s">
        <v>48</v>
      </c>
      <c r="E5" s="7" t="s">
        <v>49</v>
      </c>
      <c r="F5" s="7" t="s">
        <v>50</v>
      </c>
      <c r="G5" s="7" t="s">
        <v>22</v>
      </c>
      <c r="H5" s="7" t="s">
        <v>52</v>
      </c>
      <c r="I5" s="7" t="s">
        <v>60</v>
      </c>
      <c r="J5" s="7" t="s">
        <v>51</v>
      </c>
      <c r="K5" s="7"/>
      <c r="L5" s="7"/>
      <c r="M5" s="5" t="s">
        <v>59</v>
      </c>
      <c r="N5" s="5" t="s">
        <v>59</v>
      </c>
      <c r="O5" s="7" t="s">
        <v>54</v>
      </c>
    </row>
    <row r="6" spans="1:15" x14ac:dyDescent="0.35">
      <c r="A6" s="5" t="s">
        <v>829</v>
      </c>
      <c r="B6" s="7" t="s">
        <v>484</v>
      </c>
      <c r="C6" s="7" t="s">
        <v>120</v>
      </c>
      <c r="D6" s="7" t="s">
        <v>48</v>
      </c>
      <c r="E6" s="7" t="s">
        <v>49</v>
      </c>
      <c r="F6" s="7" t="s">
        <v>55</v>
      </c>
      <c r="G6" s="7" t="s">
        <v>0</v>
      </c>
      <c r="H6" s="7" t="s">
        <v>52</v>
      </c>
      <c r="I6" s="7" t="s">
        <v>52</v>
      </c>
      <c r="J6" s="7"/>
      <c r="K6" s="7"/>
      <c r="L6" s="7"/>
      <c r="M6" s="5" t="s">
        <v>56</v>
      </c>
      <c r="N6" s="5" t="s">
        <v>56</v>
      </c>
      <c r="O6" s="7" t="s">
        <v>54</v>
      </c>
    </row>
    <row r="7" spans="1:15" x14ac:dyDescent="0.35">
      <c r="A7" s="5" t="s">
        <v>833</v>
      </c>
      <c r="B7" s="6" t="s">
        <v>738</v>
      </c>
      <c r="C7" s="6" t="s">
        <v>374</v>
      </c>
      <c r="D7" s="7" t="s">
        <v>48</v>
      </c>
      <c r="E7" s="7" t="s">
        <v>49</v>
      </c>
      <c r="F7" s="7" t="s">
        <v>55</v>
      </c>
      <c r="G7" s="7" t="s">
        <v>13</v>
      </c>
      <c r="H7" s="7" t="s">
        <v>52</v>
      </c>
      <c r="I7" s="7" t="s">
        <v>52</v>
      </c>
      <c r="J7" s="7"/>
      <c r="K7" s="7"/>
      <c r="L7" s="7"/>
      <c r="M7" s="5" t="s">
        <v>59</v>
      </c>
      <c r="N7" s="5" t="s">
        <v>59</v>
      </c>
      <c r="O7" s="7" t="s">
        <v>54</v>
      </c>
    </row>
    <row r="8" spans="1:15" x14ac:dyDescent="0.35">
      <c r="A8" s="5" t="s">
        <v>832</v>
      </c>
      <c r="B8" s="6" t="s">
        <v>480</v>
      </c>
      <c r="C8" s="6" t="s">
        <v>116</v>
      </c>
      <c r="D8" s="7" t="s">
        <v>48</v>
      </c>
      <c r="E8" s="7" t="s">
        <v>49</v>
      </c>
      <c r="F8" s="7" t="s">
        <v>50</v>
      </c>
      <c r="G8" s="7" t="s">
        <v>26</v>
      </c>
      <c r="H8" s="7" t="s">
        <v>52</v>
      </c>
      <c r="I8" s="7" t="s">
        <v>60</v>
      </c>
      <c r="J8" s="7"/>
      <c r="K8" s="7"/>
      <c r="L8" s="7"/>
      <c r="M8" s="5" t="s">
        <v>59</v>
      </c>
      <c r="N8" s="5" t="s">
        <v>59</v>
      </c>
      <c r="O8" s="7" t="s">
        <v>54</v>
      </c>
    </row>
    <row r="9" spans="1:15" x14ac:dyDescent="0.35">
      <c r="A9" s="5" t="s">
        <v>833</v>
      </c>
      <c r="B9" s="7" t="s">
        <v>676</v>
      </c>
      <c r="C9" s="7" t="s">
        <v>312</v>
      </c>
      <c r="D9" s="7" t="s">
        <v>48</v>
      </c>
      <c r="E9" s="7" t="s">
        <v>49</v>
      </c>
      <c r="F9" s="7" t="s">
        <v>55</v>
      </c>
      <c r="G9" s="7" t="s">
        <v>29</v>
      </c>
      <c r="H9" s="7" t="s">
        <v>52</v>
      </c>
      <c r="I9" s="7" t="s">
        <v>52</v>
      </c>
      <c r="J9" s="7"/>
      <c r="K9" s="7"/>
      <c r="L9" s="7"/>
      <c r="M9" s="5" t="s">
        <v>59</v>
      </c>
      <c r="N9" s="5" t="s">
        <v>59</v>
      </c>
      <c r="O9" s="7" t="s">
        <v>54</v>
      </c>
    </row>
    <row r="10" spans="1:15" x14ac:dyDescent="0.35">
      <c r="A10" s="5" t="s">
        <v>834</v>
      </c>
      <c r="B10" s="6" t="s">
        <v>528</v>
      </c>
      <c r="C10" s="6" t="s">
        <v>164</v>
      </c>
      <c r="D10" s="6" t="s">
        <v>48</v>
      </c>
      <c r="E10" s="6" t="s">
        <v>49</v>
      </c>
      <c r="F10" s="6" t="s">
        <v>55</v>
      </c>
      <c r="G10" s="6" t="s">
        <v>13</v>
      </c>
      <c r="H10" s="6" t="s">
        <v>51</v>
      </c>
      <c r="I10" s="6" t="s">
        <v>52</v>
      </c>
      <c r="J10" s="6"/>
      <c r="K10" s="6"/>
      <c r="L10" s="6"/>
      <c r="M10" s="5" t="s">
        <v>56</v>
      </c>
      <c r="N10" s="5" t="s">
        <v>56</v>
      </c>
      <c r="O10" s="6" t="s">
        <v>54</v>
      </c>
    </row>
    <row r="11" spans="1:15" x14ac:dyDescent="0.35">
      <c r="A11" s="5" t="s">
        <v>835</v>
      </c>
      <c r="B11" s="6" t="s">
        <v>659</v>
      </c>
      <c r="C11" s="6" t="s">
        <v>295</v>
      </c>
      <c r="D11" s="6" t="s">
        <v>48</v>
      </c>
      <c r="E11" s="6" t="s">
        <v>49</v>
      </c>
      <c r="F11" s="6" t="s">
        <v>55</v>
      </c>
      <c r="G11" s="6" t="s">
        <v>5</v>
      </c>
      <c r="H11" s="6" t="s">
        <v>92</v>
      </c>
      <c r="I11" s="6" t="s">
        <v>52</v>
      </c>
      <c r="J11" s="6"/>
      <c r="K11" s="6"/>
      <c r="L11" s="6"/>
      <c r="M11" s="5" t="s">
        <v>63</v>
      </c>
      <c r="N11" s="5" t="s">
        <v>63</v>
      </c>
      <c r="O11" s="6" t="s">
        <v>54</v>
      </c>
    </row>
    <row r="12" spans="1:15" x14ac:dyDescent="0.35">
      <c r="A12" s="5" t="s">
        <v>836</v>
      </c>
      <c r="B12" s="6" t="s">
        <v>588</v>
      </c>
      <c r="C12" s="6" t="s">
        <v>224</v>
      </c>
      <c r="D12" s="7" t="s">
        <v>48</v>
      </c>
      <c r="E12" s="7" t="s">
        <v>49</v>
      </c>
      <c r="F12" s="7" t="s">
        <v>50</v>
      </c>
      <c r="G12" s="7" t="s">
        <v>5</v>
      </c>
      <c r="H12" s="7" t="s">
        <v>52</v>
      </c>
      <c r="I12" s="7" t="s">
        <v>52</v>
      </c>
      <c r="J12" s="7" t="s">
        <v>51</v>
      </c>
      <c r="K12" s="7"/>
      <c r="L12" s="7" t="s">
        <v>68</v>
      </c>
      <c r="M12" s="5" t="s">
        <v>63</v>
      </c>
      <c r="N12" s="5" t="s">
        <v>63</v>
      </c>
      <c r="O12" s="7" t="s">
        <v>54</v>
      </c>
    </row>
    <row r="13" spans="1:15" x14ac:dyDescent="0.35">
      <c r="A13" s="5" t="s">
        <v>837</v>
      </c>
      <c r="B13" s="6" t="s">
        <v>680</v>
      </c>
      <c r="C13" s="6" t="s">
        <v>316</v>
      </c>
      <c r="D13" s="7" t="s">
        <v>48</v>
      </c>
      <c r="E13" s="7" t="s">
        <v>49</v>
      </c>
      <c r="F13" s="7" t="s">
        <v>55</v>
      </c>
      <c r="G13" s="7" t="s">
        <v>11</v>
      </c>
      <c r="H13" s="7" t="s">
        <v>52</v>
      </c>
      <c r="I13" s="7" t="s">
        <v>60</v>
      </c>
      <c r="J13" s="7"/>
      <c r="K13" s="7"/>
      <c r="L13" s="7"/>
      <c r="M13" s="5" t="s">
        <v>63</v>
      </c>
      <c r="N13" s="5" t="s">
        <v>63</v>
      </c>
      <c r="O13" s="7" t="s">
        <v>54</v>
      </c>
    </row>
    <row r="14" spans="1:15" x14ac:dyDescent="0.35">
      <c r="A14" s="5" t="s">
        <v>838</v>
      </c>
      <c r="B14" s="7" t="s">
        <v>553</v>
      </c>
      <c r="C14" s="7" t="s">
        <v>189</v>
      </c>
      <c r="D14" s="7" t="s">
        <v>48</v>
      </c>
      <c r="E14" s="7" t="s">
        <v>49</v>
      </c>
      <c r="F14" s="7" t="s">
        <v>55</v>
      </c>
      <c r="G14" s="7" t="s">
        <v>9</v>
      </c>
      <c r="H14" s="7" t="s">
        <v>52</v>
      </c>
      <c r="I14" s="7" t="s">
        <v>60</v>
      </c>
      <c r="J14" s="7" t="s">
        <v>51</v>
      </c>
      <c r="K14" s="7"/>
      <c r="L14" s="7" t="s">
        <v>70</v>
      </c>
      <c r="M14" s="5" t="s">
        <v>61</v>
      </c>
      <c r="N14" s="5" t="s">
        <v>61</v>
      </c>
      <c r="O14" s="7" t="s">
        <v>54</v>
      </c>
    </row>
    <row r="15" spans="1:15" x14ac:dyDescent="0.35">
      <c r="A15" s="5" t="s">
        <v>839</v>
      </c>
      <c r="B15" s="6" t="s">
        <v>557</v>
      </c>
      <c r="C15" s="6" t="s">
        <v>193</v>
      </c>
      <c r="D15" s="7" t="s">
        <v>48</v>
      </c>
      <c r="E15" s="7" t="s">
        <v>49</v>
      </c>
      <c r="F15" s="7" t="s">
        <v>55</v>
      </c>
      <c r="G15" s="7" t="s">
        <v>5</v>
      </c>
      <c r="H15" s="7" t="s">
        <v>51</v>
      </c>
      <c r="I15" s="7" t="s">
        <v>52</v>
      </c>
      <c r="J15" s="7" t="s">
        <v>51</v>
      </c>
      <c r="K15" s="7" t="s">
        <v>51</v>
      </c>
      <c r="L15" s="7"/>
      <c r="M15" s="5" t="s">
        <v>59</v>
      </c>
      <c r="N15" s="5" t="s">
        <v>59</v>
      </c>
      <c r="O15" s="7" t="s">
        <v>54</v>
      </c>
    </row>
    <row r="16" spans="1:15" x14ac:dyDescent="0.35">
      <c r="A16" s="5" t="s">
        <v>840</v>
      </c>
      <c r="B16" s="6" t="s">
        <v>648</v>
      </c>
      <c r="C16" s="6" t="s">
        <v>284</v>
      </c>
      <c r="D16" s="6" t="s">
        <v>48</v>
      </c>
      <c r="E16" s="6" t="s">
        <v>49</v>
      </c>
      <c r="F16" s="6" t="s">
        <v>50</v>
      </c>
      <c r="G16" s="6" t="s">
        <v>10</v>
      </c>
      <c r="H16" s="6" t="s">
        <v>52</v>
      </c>
      <c r="I16" s="6" t="s">
        <v>52</v>
      </c>
      <c r="J16" s="6" t="s">
        <v>51</v>
      </c>
      <c r="K16" s="6" t="s">
        <v>51</v>
      </c>
      <c r="L16" s="6" t="s">
        <v>62</v>
      </c>
      <c r="M16" s="5" t="s">
        <v>89</v>
      </c>
      <c r="N16" s="5" t="s">
        <v>89</v>
      </c>
      <c r="O16" s="6" t="s">
        <v>54</v>
      </c>
    </row>
    <row r="17" spans="1:15" x14ac:dyDescent="0.35">
      <c r="A17" s="5" t="s">
        <v>833</v>
      </c>
      <c r="B17" s="6" t="s">
        <v>486</v>
      </c>
      <c r="C17" s="6" t="s">
        <v>122</v>
      </c>
      <c r="D17" s="7" t="s">
        <v>48</v>
      </c>
      <c r="E17" s="7" t="s">
        <v>49</v>
      </c>
      <c r="F17" s="7" t="s">
        <v>55</v>
      </c>
      <c r="G17" s="7" t="s">
        <v>29</v>
      </c>
      <c r="H17" s="7" t="s">
        <v>51</v>
      </c>
      <c r="I17" s="7" t="s">
        <v>52</v>
      </c>
      <c r="J17" s="7"/>
      <c r="K17" s="7"/>
      <c r="L17" s="7"/>
      <c r="M17" s="5" t="s">
        <v>59</v>
      </c>
      <c r="N17" s="5" t="s">
        <v>59</v>
      </c>
      <c r="O17" s="7" t="s">
        <v>54</v>
      </c>
    </row>
    <row r="18" spans="1:15" x14ac:dyDescent="0.35">
      <c r="A18" s="5" t="s">
        <v>841</v>
      </c>
      <c r="B18" s="6" t="s">
        <v>522</v>
      </c>
      <c r="C18" s="6" t="s">
        <v>158</v>
      </c>
      <c r="D18" s="6" t="s">
        <v>48</v>
      </c>
      <c r="E18" s="6" t="s">
        <v>49</v>
      </c>
      <c r="F18" s="6" t="s">
        <v>50</v>
      </c>
      <c r="G18" s="6" t="s">
        <v>8</v>
      </c>
      <c r="H18" s="6" t="s">
        <v>51</v>
      </c>
      <c r="I18" s="6" t="s">
        <v>52</v>
      </c>
      <c r="J18" s="6" t="s">
        <v>51</v>
      </c>
      <c r="K18" s="6"/>
      <c r="L18" s="6"/>
      <c r="M18" s="5" t="s">
        <v>57</v>
      </c>
      <c r="N18" s="5" t="s">
        <v>57</v>
      </c>
      <c r="O18" s="6" t="s">
        <v>54</v>
      </c>
    </row>
    <row r="19" spans="1:15" x14ac:dyDescent="0.35">
      <c r="A19" s="5" t="s">
        <v>842</v>
      </c>
      <c r="B19" s="7" t="s">
        <v>721</v>
      </c>
      <c r="C19" s="7" t="s">
        <v>357</v>
      </c>
      <c r="D19" s="6" t="s">
        <v>48</v>
      </c>
      <c r="E19" s="6" t="s">
        <v>49</v>
      </c>
      <c r="F19" s="6" t="s">
        <v>55</v>
      </c>
      <c r="G19" s="6" t="s">
        <v>24</v>
      </c>
      <c r="H19" s="6" t="s">
        <v>52</v>
      </c>
      <c r="I19" s="6" t="s">
        <v>52</v>
      </c>
      <c r="J19" s="6"/>
      <c r="K19" s="6"/>
      <c r="L19" s="6"/>
      <c r="M19" s="5" t="s">
        <v>57</v>
      </c>
      <c r="N19" s="5" t="s">
        <v>57</v>
      </c>
      <c r="O19" s="6" t="s">
        <v>54</v>
      </c>
    </row>
    <row r="20" spans="1:15" x14ac:dyDescent="0.35">
      <c r="A20" s="5" t="s">
        <v>843</v>
      </c>
      <c r="B20" s="7" t="s">
        <v>640</v>
      </c>
      <c r="C20" s="7" t="s">
        <v>276</v>
      </c>
      <c r="D20" s="6" t="s">
        <v>48</v>
      </c>
      <c r="E20" s="6" t="s">
        <v>49</v>
      </c>
      <c r="F20" s="6" t="s">
        <v>50</v>
      </c>
      <c r="G20" s="6" t="s">
        <v>5</v>
      </c>
      <c r="H20" s="6" t="s">
        <v>52</v>
      </c>
      <c r="I20" s="6" t="s">
        <v>52</v>
      </c>
      <c r="J20" s="6"/>
      <c r="K20" s="6"/>
      <c r="L20" s="6"/>
      <c r="M20" s="5" t="s">
        <v>67</v>
      </c>
      <c r="N20" s="5" t="s">
        <v>67</v>
      </c>
      <c r="O20" s="6" t="s">
        <v>54</v>
      </c>
    </row>
    <row r="21" spans="1:15" x14ac:dyDescent="0.35">
      <c r="A21" s="5" t="s">
        <v>844</v>
      </c>
      <c r="B21" s="7" t="s">
        <v>760</v>
      </c>
      <c r="C21" s="7" t="s">
        <v>396</v>
      </c>
      <c r="D21" s="7" t="s">
        <v>48</v>
      </c>
      <c r="E21" s="7" t="s">
        <v>49</v>
      </c>
      <c r="F21" s="7" t="s">
        <v>50</v>
      </c>
      <c r="G21" s="7" t="s">
        <v>16</v>
      </c>
      <c r="H21" s="7" t="s">
        <v>52</v>
      </c>
      <c r="I21" s="7" t="s">
        <v>60</v>
      </c>
      <c r="J21" s="7"/>
      <c r="K21" s="7"/>
      <c r="L21" s="7"/>
      <c r="M21" s="5" t="s">
        <v>63</v>
      </c>
      <c r="N21" s="5" t="s">
        <v>63</v>
      </c>
      <c r="O21" s="7" t="s">
        <v>54</v>
      </c>
    </row>
    <row r="22" spans="1:15" x14ac:dyDescent="0.35">
      <c r="A22" s="5" t="s">
        <v>845</v>
      </c>
      <c r="B22" s="7" t="s">
        <v>769</v>
      </c>
      <c r="C22" s="7" t="s">
        <v>405</v>
      </c>
      <c r="D22" s="6" t="s">
        <v>48</v>
      </c>
      <c r="E22" s="6" t="s">
        <v>49</v>
      </c>
      <c r="F22" s="6" t="s">
        <v>55</v>
      </c>
      <c r="G22" s="6" t="s">
        <v>28</v>
      </c>
      <c r="H22" s="6" t="s">
        <v>51</v>
      </c>
      <c r="I22" s="6" t="s">
        <v>52</v>
      </c>
      <c r="J22" s="6" t="s">
        <v>51</v>
      </c>
      <c r="K22" s="6"/>
      <c r="L22" s="6"/>
      <c r="M22" s="5" t="s">
        <v>57</v>
      </c>
      <c r="N22" s="5" t="s">
        <v>57</v>
      </c>
      <c r="O22" s="6" t="s">
        <v>54</v>
      </c>
    </row>
    <row r="23" spans="1:15" x14ac:dyDescent="0.35">
      <c r="A23" s="5" t="s">
        <v>846</v>
      </c>
      <c r="B23" s="6" t="s">
        <v>482</v>
      </c>
      <c r="C23" s="6" t="s">
        <v>118</v>
      </c>
      <c r="D23" s="7" t="s">
        <v>48</v>
      </c>
      <c r="E23" s="7" t="s">
        <v>49</v>
      </c>
      <c r="F23" s="7" t="s">
        <v>50</v>
      </c>
      <c r="G23" s="7" t="s">
        <v>5</v>
      </c>
      <c r="H23" s="7" t="s">
        <v>52</v>
      </c>
      <c r="I23" s="7" t="s">
        <v>60</v>
      </c>
      <c r="J23" s="7"/>
      <c r="K23" s="7"/>
      <c r="L23" s="7"/>
      <c r="M23" s="5" t="s">
        <v>57</v>
      </c>
      <c r="N23" s="5" t="s">
        <v>57</v>
      </c>
      <c r="O23" s="7" t="s">
        <v>54</v>
      </c>
    </row>
    <row r="24" spans="1:15" x14ac:dyDescent="0.35">
      <c r="A24" s="5" t="s">
        <v>847</v>
      </c>
      <c r="B24" s="6" t="s">
        <v>708</v>
      </c>
      <c r="C24" s="6" t="s">
        <v>344</v>
      </c>
      <c r="D24" s="6" t="s">
        <v>48</v>
      </c>
      <c r="E24" s="6" t="s">
        <v>49</v>
      </c>
      <c r="F24" s="6" t="s">
        <v>55</v>
      </c>
      <c r="G24" s="6" t="s">
        <v>26</v>
      </c>
      <c r="H24" s="6" t="s">
        <v>52</v>
      </c>
      <c r="I24" s="6" t="s">
        <v>52</v>
      </c>
      <c r="J24" s="6"/>
      <c r="K24" s="6"/>
      <c r="L24" s="6"/>
      <c r="M24" s="5" t="s">
        <v>67</v>
      </c>
      <c r="N24" s="5" t="s">
        <v>67</v>
      </c>
      <c r="O24" s="6" t="s">
        <v>54</v>
      </c>
    </row>
    <row r="25" spans="1:15" x14ac:dyDescent="0.35">
      <c r="A25" s="5" t="s">
        <v>848</v>
      </c>
      <c r="B25" s="6" t="s">
        <v>471</v>
      </c>
      <c r="C25" s="6" t="s">
        <v>107</v>
      </c>
      <c r="D25" s="6" t="s">
        <v>48</v>
      </c>
      <c r="E25" s="6" t="s">
        <v>49</v>
      </c>
      <c r="F25" s="6" t="s">
        <v>50</v>
      </c>
      <c r="G25" s="6" t="s">
        <v>5</v>
      </c>
      <c r="H25" s="6" t="s">
        <v>52</v>
      </c>
      <c r="I25" s="6" t="s">
        <v>52</v>
      </c>
      <c r="J25" s="6" t="s">
        <v>51</v>
      </c>
      <c r="K25" s="6"/>
      <c r="L25" s="6"/>
      <c r="M25" s="5" t="s">
        <v>56</v>
      </c>
      <c r="N25" s="5" t="s">
        <v>56</v>
      </c>
      <c r="O25" s="6" t="s">
        <v>54</v>
      </c>
    </row>
    <row r="26" spans="1:15" x14ac:dyDescent="0.35">
      <c r="A26" s="5" t="s">
        <v>849</v>
      </c>
      <c r="B26" s="7" t="s">
        <v>754</v>
      </c>
      <c r="C26" s="7" t="s">
        <v>390</v>
      </c>
      <c r="D26" s="7" t="s">
        <v>48</v>
      </c>
      <c r="E26" s="7" t="s">
        <v>49</v>
      </c>
      <c r="F26" s="7" t="s">
        <v>55</v>
      </c>
      <c r="G26" s="7" t="s">
        <v>9</v>
      </c>
      <c r="H26" s="7" t="s">
        <v>52</v>
      </c>
      <c r="I26" s="7" t="s">
        <v>52</v>
      </c>
      <c r="J26" s="7"/>
      <c r="K26" s="7"/>
      <c r="L26" s="7"/>
      <c r="M26" s="5" t="s">
        <v>59</v>
      </c>
      <c r="N26" s="5" t="s">
        <v>59</v>
      </c>
      <c r="O26" s="7" t="s">
        <v>54</v>
      </c>
    </row>
    <row r="27" spans="1:15" x14ac:dyDescent="0.35">
      <c r="A27" s="5" t="s">
        <v>850</v>
      </c>
      <c r="B27" s="6" t="s">
        <v>698</v>
      </c>
      <c r="C27" s="6" t="s">
        <v>334</v>
      </c>
      <c r="D27" s="6" t="s">
        <v>48</v>
      </c>
      <c r="E27" s="6" t="s">
        <v>49</v>
      </c>
      <c r="F27" s="6" t="s">
        <v>50</v>
      </c>
      <c r="G27" s="6" t="s">
        <v>3</v>
      </c>
      <c r="H27" s="6" t="s">
        <v>51</v>
      </c>
      <c r="I27" s="6" t="s">
        <v>52</v>
      </c>
      <c r="J27" s="6" t="s">
        <v>51</v>
      </c>
      <c r="K27" s="6" t="s">
        <v>51</v>
      </c>
      <c r="L27" s="6"/>
      <c r="M27" s="5" t="s">
        <v>57</v>
      </c>
      <c r="N27" s="5" t="s">
        <v>57</v>
      </c>
      <c r="O27" s="6" t="s">
        <v>54</v>
      </c>
    </row>
    <row r="28" spans="1:15" x14ac:dyDescent="0.35">
      <c r="A28" s="5" t="s">
        <v>851</v>
      </c>
      <c r="B28" s="6" t="s">
        <v>638</v>
      </c>
      <c r="C28" s="6" t="s">
        <v>274</v>
      </c>
      <c r="D28" s="6" t="s">
        <v>48</v>
      </c>
      <c r="E28" s="6" t="s">
        <v>49</v>
      </c>
      <c r="F28" s="6" t="s">
        <v>55</v>
      </c>
      <c r="G28" s="6" t="s">
        <v>29</v>
      </c>
      <c r="H28" s="6" t="s">
        <v>52</v>
      </c>
      <c r="I28" s="6" t="s">
        <v>52</v>
      </c>
      <c r="J28" s="6"/>
      <c r="K28" s="6"/>
      <c r="L28" s="6"/>
      <c r="M28" s="5" t="s">
        <v>67</v>
      </c>
      <c r="N28" s="5" t="s">
        <v>67</v>
      </c>
      <c r="O28" s="6" t="s">
        <v>54</v>
      </c>
    </row>
    <row r="29" spans="1:15" x14ac:dyDescent="0.35">
      <c r="A29" s="5" t="s">
        <v>837</v>
      </c>
      <c r="B29" s="7" t="s">
        <v>784</v>
      </c>
      <c r="C29" s="7" t="s">
        <v>420</v>
      </c>
      <c r="D29" s="7" t="s">
        <v>48</v>
      </c>
      <c r="E29" s="7" t="s">
        <v>49</v>
      </c>
      <c r="F29" s="7" t="s">
        <v>55</v>
      </c>
      <c r="G29" s="7" t="s">
        <v>5</v>
      </c>
      <c r="H29" s="7" t="s">
        <v>52</v>
      </c>
      <c r="I29" s="7" t="s">
        <v>52</v>
      </c>
      <c r="J29" s="7"/>
      <c r="K29" s="7"/>
      <c r="L29" s="7"/>
      <c r="M29" s="5" t="s">
        <v>63</v>
      </c>
      <c r="N29" s="5" t="s">
        <v>63</v>
      </c>
      <c r="O29" s="7" t="s">
        <v>54</v>
      </c>
    </row>
    <row r="30" spans="1:15" x14ac:dyDescent="0.35">
      <c r="A30" s="5" t="s">
        <v>852</v>
      </c>
      <c r="B30" s="6" t="s">
        <v>825</v>
      </c>
      <c r="C30" s="6" t="s">
        <v>461</v>
      </c>
      <c r="D30" s="7" t="s">
        <v>48</v>
      </c>
      <c r="E30" s="7" t="s">
        <v>49</v>
      </c>
      <c r="F30" s="7" t="s">
        <v>50</v>
      </c>
      <c r="G30" s="7" t="s">
        <v>0</v>
      </c>
      <c r="H30" s="7" t="s">
        <v>51</v>
      </c>
      <c r="I30" s="7" t="s">
        <v>52</v>
      </c>
      <c r="J30" s="7" t="s">
        <v>51</v>
      </c>
      <c r="K30" s="7" t="s">
        <v>51</v>
      </c>
      <c r="L30" s="7"/>
      <c r="M30" s="5" t="s">
        <v>53</v>
      </c>
      <c r="N30" s="5" t="s">
        <v>53</v>
      </c>
      <c r="O30" s="7" t="s">
        <v>54</v>
      </c>
    </row>
    <row r="31" spans="1:15" x14ac:dyDescent="0.35">
      <c r="A31" s="5" t="s">
        <v>831</v>
      </c>
      <c r="B31" s="6" t="s">
        <v>660</v>
      </c>
      <c r="C31" s="6" t="s">
        <v>296</v>
      </c>
      <c r="D31" s="7" t="s">
        <v>48</v>
      </c>
      <c r="E31" s="7" t="s">
        <v>49</v>
      </c>
      <c r="F31" s="7" t="s">
        <v>55</v>
      </c>
      <c r="G31" s="7" t="s">
        <v>9</v>
      </c>
      <c r="H31" s="7" t="s">
        <v>52</v>
      </c>
      <c r="I31" s="7" t="s">
        <v>52</v>
      </c>
      <c r="J31" s="7"/>
      <c r="K31" s="7"/>
      <c r="L31" s="7"/>
      <c r="M31" s="5" t="s">
        <v>59</v>
      </c>
      <c r="N31" s="5" t="s">
        <v>59</v>
      </c>
      <c r="O31" s="7" t="s">
        <v>54</v>
      </c>
    </row>
    <row r="32" spans="1:15" x14ac:dyDescent="0.35">
      <c r="A32" s="5" t="s">
        <v>853</v>
      </c>
      <c r="B32" s="7" t="s">
        <v>820</v>
      </c>
      <c r="C32" s="7" t="s">
        <v>456</v>
      </c>
      <c r="D32" s="6" t="s">
        <v>48</v>
      </c>
      <c r="E32" s="6" t="s">
        <v>49</v>
      </c>
      <c r="F32" s="6" t="s">
        <v>55</v>
      </c>
      <c r="G32" s="6" t="s">
        <v>9</v>
      </c>
      <c r="H32" s="6" t="s">
        <v>52</v>
      </c>
      <c r="I32" s="6" t="s">
        <v>52</v>
      </c>
      <c r="J32" s="6" t="s">
        <v>51</v>
      </c>
      <c r="K32" s="6" t="s">
        <v>51</v>
      </c>
      <c r="L32" s="6"/>
      <c r="M32" s="5" t="s">
        <v>53</v>
      </c>
      <c r="N32" s="5" t="s">
        <v>53</v>
      </c>
      <c r="O32" s="6" t="s">
        <v>54</v>
      </c>
    </row>
    <row r="33" spans="1:15" x14ac:dyDescent="0.35">
      <c r="A33" s="5" t="s">
        <v>854</v>
      </c>
      <c r="B33" s="7" t="s">
        <v>514</v>
      </c>
      <c r="C33" s="7" t="s">
        <v>150</v>
      </c>
      <c r="D33" s="6" t="s">
        <v>48</v>
      </c>
      <c r="E33" s="6" t="s">
        <v>49</v>
      </c>
      <c r="F33" s="6" t="s">
        <v>50</v>
      </c>
      <c r="G33" s="6" t="s">
        <v>13</v>
      </c>
      <c r="H33" s="6" t="s">
        <v>52</v>
      </c>
      <c r="I33" s="6" t="s">
        <v>52</v>
      </c>
      <c r="J33" s="6"/>
      <c r="K33" s="6"/>
      <c r="L33" s="6"/>
      <c r="M33" s="5" t="s">
        <v>69</v>
      </c>
      <c r="N33" s="5" t="s">
        <v>69</v>
      </c>
      <c r="O33" s="6"/>
    </row>
    <row r="34" spans="1:15" x14ac:dyDescent="0.35">
      <c r="A34" s="5" t="s">
        <v>846</v>
      </c>
      <c r="B34" s="7" t="s">
        <v>670</v>
      </c>
      <c r="C34" s="7" t="s">
        <v>306</v>
      </c>
      <c r="D34" s="7" t="s">
        <v>48</v>
      </c>
      <c r="E34" s="7" t="s">
        <v>49</v>
      </c>
      <c r="F34" s="7" t="s">
        <v>50</v>
      </c>
      <c r="G34" s="7" t="s">
        <v>26</v>
      </c>
      <c r="H34" s="7" t="s">
        <v>52</v>
      </c>
      <c r="I34" s="7" t="s">
        <v>52</v>
      </c>
      <c r="J34" s="7"/>
      <c r="K34" s="7"/>
      <c r="L34" s="7"/>
      <c r="M34" s="5" t="s">
        <v>57</v>
      </c>
      <c r="N34" s="5" t="s">
        <v>57</v>
      </c>
      <c r="O34" s="7" t="s">
        <v>54</v>
      </c>
    </row>
    <row r="35" spans="1:15" x14ac:dyDescent="0.35">
      <c r="A35" s="5" t="s">
        <v>839</v>
      </c>
      <c r="B35" s="7" t="s">
        <v>469</v>
      </c>
      <c r="C35" s="7" t="s">
        <v>105</v>
      </c>
      <c r="D35" s="6" t="s">
        <v>48</v>
      </c>
      <c r="E35" s="6" t="s">
        <v>49</v>
      </c>
      <c r="F35" s="6" t="s">
        <v>55</v>
      </c>
      <c r="G35" s="6" t="s">
        <v>26</v>
      </c>
      <c r="H35" s="6" t="s">
        <v>52</v>
      </c>
      <c r="I35" s="6" t="s">
        <v>52</v>
      </c>
      <c r="J35" s="6"/>
      <c r="K35" s="6"/>
      <c r="L35" s="6"/>
      <c r="M35" s="5" t="s">
        <v>59</v>
      </c>
      <c r="N35" s="5" t="s">
        <v>59</v>
      </c>
      <c r="O35" s="6" t="s">
        <v>54</v>
      </c>
    </row>
    <row r="36" spans="1:15" x14ac:dyDescent="0.35">
      <c r="A36" s="5" t="s">
        <v>855</v>
      </c>
      <c r="B36" s="6" t="s">
        <v>507</v>
      </c>
      <c r="C36" s="6" t="s">
        <v>143</v>
      </c>
      <c r="D36" s="6" t="s">
        <v>48</v>
      </c>
      <c r="E36" s="6" t="s">
        <v>49</v>
      </c>
      <c r="F36" s="6" t="s">
        <v>55</v>
      </c>
      <c r="G36" s="6" t="s">
        <v>5</v>
      </c>
      <c r="H36" s="6" t="s">
        <v>52</v>
      </c>
      <c r="I36" s="6" t="s">
        <v>52</v>
      </c>
      <c r="J36" s="6"/>
      <c r="K36" s="6"/>
      <c r="L36" s="6"/>
      <c r="M36" s="5" t="s">
        <v>57</v>
      </c>
      <c r="N36" s="5" t="s">
        <v>57</v>
      </c>
      <c r="O36" s="6" t="s">
        <v>54</v>
      </c>
    </row>
    <row r="37" spans="1:15" x14ac:dyDescent="0.35">
      <c r="A37" s="5" t="s">
        <v>856</v>
      </c>
      <c r="B37" s="6" t="s">
        <v>789</v>
      </c>
      <c r="C37" s="6" t="s">
        <v>425</v>
      </c>
      <c r="D37" s="7" t="s">
        <v>48</v>
      </c>
      <c r="E37" s="7" t="s">
        <v>49</v>
      </c>
      <c r="F37" s="7" t="s">
        <v>50</v>
      </c>
      <c r="G37" s="7" t="s">
        <v>18</v>
      </c>
      <c r="H37" s="7" t="s">
        <v>52</v>
      </c>
      <c r="I37" s="7" t="s">
        <v>52</v>
      </c>
      <c r="J37" s="7"/>
      <c r="K37" s="7"/>
      <c r="L37" s="7"/>
      <c r="M37" s="5" t="s">
        <v>61</v>
      </c>
      <c r="N37" s="5" t="s">
        <v>61</v>
      </c>
      <c r="O37" s="7" t="s">
        <v>54</v>
      </c>
    </row>
    <row r="38" spans="1:15" x14ac:dyDescent="0.35">
      <c r="A38" s="5" t="s">
        <v>857</v>
      </c>
      <c r="B38" s="6" t="s">
        <v>714</v>
      </c>
      <c r="C38" s="6" t="s">
        <v>350</v>
      </c>
      <c r="D38" s="7" t="s">
        <v>48</v>
      </c>
      <c r="E38" s="7" t="s">
        <v>49</v>
      </c>
      <c r="F38" s="7" t="s">
        <v>50</v>
      </c>
      <c r="G38" s="7" t="s">
        <v>4</v>
      </c>
      <c r="H38" s="7" t="s">
        <v>52</v>
      </c>
      <c r="I38" s="7" t="s">
        <v>52</v>
      </c>
      <c r="J38" s="7"/>
      <c r="K38" s="7"/>
      <c r="L38" s="7"/>
      <c r="M38" s="5" t="s">
        <v>67</v>
      </c>
      <c r="N38" s="5" t="s">
        <v>67</v>
      </c>
      <c r="O38" s="7" t="s">
        <v>54</v>
      </c>
    </row>
    <row r="39" spans="1:15" x14ac:dyDescent="0.35">
      <c r="A39" s="5" t="s">
        <v>847</v>
      </c>
      <c r="B39" s="6" t="s">
        <v>678</v>
      </c>
      <c r="C39" s="6" t="s">
        <v>314</v>
      </c>
      <c r="D39" s="7" t="s">
        <v>48</v>
      </c>
      <c r="E39" s="7" t="s">
        <v>49</v>
      </c>
      <c r="F39" s="7" t="s">
        <v>55</v>
      </c>
      <c r="G39" s="7" t="s">
        <v>9</v>
      </c>
      <c r="H39" s="7" t="s">
        <v>52</v>
      </c>
      <c r="I39" s="7" t="s">
        <v>60</v>
      </c>
      <c r="J39" s="7"/>
      <c r="K39" s="7"/>
      <c r="L39" s="7"/>
      <c r="M39" s="5" t="s">
        <v>67</v>
      </c>
      <c r="N39" s="5" t="s">
        <v>67</v>
      </c>
      <c r="O39" s="7" t="s">
        <v>54</v>
      </c>
    </row>
    <row r="40" spans="1:15" x14ac:dyDescent="0.35">
      <c r="A40" s="5" t="s">
        <v>858</v>
      </c>
      <c r="B40" s="6" t="s">
        <v>552</v>
      </c>
      <c r="C40" s="6" t="s">
        <v>188</v>
      </c>
      <c r="D40" s="6" t="s">
        <v>48</v>
      </c>
      <c r="E40" s="6" t="s">
        <v>49</v>
      </c>
      <c r="F40" s="6" t="s">
        <v>50</v>
      </c>
      <c r="G40" s="6" t="s">
        <v>5</v>
      </c>
      <c r="H40" s="6" t="s">
        <v>52</v>
      </c>
      <c r="I40" s="6" t="s">
        <v>52</v>
      </c>
      <c r="J40" s="6" t="s">
        <v>51</v>
      </c>
      <c r="K40" s="6" t="s">
        <v>51</v>
      </c>
      <c r="L40" s="6"/>
      <c r="M40" s="5" t="s">
        <v>74</v>
      </c>
      <c r="N40" s="5" t="s">
        <v>74</v>
      </c>
      <c r="O40" s="6" t="s">
        <v>54</v>
      </c>
    </row>
    <row r="41" spans="1:15" x14ac:dyDescent="0.35">
      <c r="A41" s="5" t="s">
        <v>859</v>
      </c>
      <c r="B41" s="6" t="s">
        <v>743</v>
      </c>
      <c r="C41" s="6" t="s">
        <v>379</v>
      </c>
      <c r="D41" s="6" t="s">
        <v>48</v>
      </c>
      <c r="E41" s="6" t="s">
        <v>49</v>
      </c>
      <c r="F41" s="6" t="s">
        <v>50</v>
      </c>
      <c r="G41" s="6" t="s">
        <v>18</v>
      </c>
      <c r="H41" s="6" t="s">
        <v>52</v>
      </c>
      <c r="I41" s="6" t="s">
        <v>52</v>
      </c>
      <c r="J41" s="6"/>
      <c r="K41" s="6"/>
      <c r="L41" s="6"/>
      <c r="M41" s="5" t="s">
        <v>59</v>
      </c>
      <c r="N41" s="5" t="s">
        <v>59</v>
      </c>
      <c r="O41" s="6" t="s">
        <v>54</v>
      </c>
    </row>
    <row r="42" spans="1:15" x14ac:dyDescent="0.35">
      <c r="A42" s="5" t="s">
        <v>860</v>
      </c>
      <c r="B42" s="6" t="s">
        <v>531</v>
      </c>
      <c r="C42" s="6" t="s">
        <v>167</v>
      </c>
      <c r="D42" s="7" t="s">
        <v>48</v>
      </c>
      <c r="E42" s="7" t="s">
        <v>49</v>
      </c>
      <c r="F42" s="7" t="s">
        <v>55</v>
      </c>
      <c r="G42" s="7" t="s">
        <v>9</v>
      </c>
      <c r="H42" s="7" t="s">
        <v>52</v>
      </c>
      <c r="I42" s="7" t="s">
        <v>60</v>
      </c>
      <c r="J42" s="7"/>
      <c r="K42" s="7"/>
      <c r="L42" s="7"/>
      <c r="M42" s="5" t="s">
        <v>63</v>
      </c>
      <c r="N42" s="5" t="s">
        <v>63</v>
      </c>
      <c r="O42" s="7" t="s">
        <v>54</v>
      </c>
    </row>
    <row r="43" spans="1:15" x14ac:dyDescent="0.35">
      <c r="A43" s="5" t="s">
        <v>851</v>
      </c>
      <c r="B43" s="6" t="s">
        <v>804</v>
      </c>
      <c r="C43" s="6" t="s">
        <v>440</v>
      </c>
      <c r="D43" s="6" t="s">
        <v>48</v>
      </c>
      <c r="E43" s="6" t="s">
        <v>49</v>
      </c>
      <c r="F43" s="6" t="s">
        <v>55</v>
      </c>
      <c r="G43" s="6" t="s">
        <v>5</v>
      </c>
      <c r="H43" s="6" t="s">
        <v>51</v>
      </c>
      <c r="I43" s="6" t="s">
        <v>52</v>
      </c>
      <c r="J43" s="6" t="s">
        <v>51</v>
      </c>
      <c r="K43" s="6" t="s">
        <v>51</v>
      </c>
      <c r="L43" s="6"/>
      <c r="M43" s="5" t="s">
        <v>67</v>
      </c>
      <c r="N43" s="5" t="s">
        <v>67</v>
      </c>
      <c r="O43" s="6" t="s">
        <v>54</v>
      </c>
    </row>
    <row r="44" spans="1:15" x14ac:dyDescent="0.35">
      <c r="A44" s="5" t="s">
        <v>837</v>
      </c>
      <c r="B44" s="6" t="s">
        <v>555</v>
      </c>
      <c r="C44" s="6" t="s">
        <v>191</v>
      </c>
      <c r="D44" s="7" t="s">
        <v>48</v>
      </c>
      <c r="E44" s="7" t="s">
        <v>49</v>
      </c>
      <c r="F44" s="7" t="s">
        <v>55</v>
      </c>
      <c r="G44" s="7" t="s">
        <v>26</v>
      </c>
      <c r="H44" s="7" t="s">
        <v>52</v>
      </c>
      <c r="I44" s="7" t="s">
        <v>60</v>
      </c>
      <c r="J44" s="7"/>
      <c r="K44" s="7"/>
      <c r="L44" s="7"/>
      <c r="M44" s="5" t="s">
        <v>63</v>
      </c>
      <c r="N44" s="5" t="s">
        <v>63</v>
      </c>
      <c r="O44" s="7" t="s">
        <v>54</v>
      </c>
    </row>
    <row r="45" spans="1:15" x14ac:dyDescent="0.35">
      <c r="A45" s="5" t="s">
        <v>857</v>
      </c>
      <c r="B45" s="6" t="s">
        <v>656</v>
      </c>
      <c r="C45" s="6" t="s">
        <v>292</v>
      </c>
      <c r="D45" s="6" t="s">
        <v>48</v>
      </c>
      <c r="E45" s="6" t="s">
        <v>49</v>
      </c>
      <c r="F45" s="6" t="s">
        <v>50</v>
      </c>
      <c r="G45" s="6" t="s">
        <v>5</v>
      </c>
      <c r="H45" s="6" t="s">
        <v>52</v>
      </c>
      <c r="I45" s="6" t="s">
        <v>60</v>
      </c>
      <c r="J45" s="6"/>
      <c r="K45" s="6"/>
      <c r="L45" s="6"/>
      <c r="M45" s="5" t="s">
        <v>67</v>
      </c>
      <c r="N45" s="5" t="s">
        <v>67</v>
      </c>
      <c r="O45" s="6" t="s">
        <v>54</v>
      </c>
    </row>
    <row r="46" spans="1:15" x14ac:dyDescent="0.35">
      <c r="A46" s="5" t="s">
        <v>861</v>
      </c>
      <c r="B46" s="7" t="s">
        <v>595</v>
      </c>
      <c r="C46" s="7" t="s">
        <v>231</v>
      </c>
      <c r="D46" s="6" t="s">
        <v>48</v>
      </c>
      <c r="E46" s="6" t="s">
        <v>49</v>
      </c>
      <c r="F46" s="6" t="s">
        <v>50</v>
      </c>
      <c r="G46" s="6" t="s">
        <v>1</v>
      </c>
      <c r="H46" s="6" t="s">
        <v>52</v>
      </c>
      <c r="I46" s="6" t="s">
        <v>52</v>
      </c>
      <c r="J46" s="6" t="s">
        <v>51</v>
      </c>
      <c r="K46" s="6"/>
      <c r="L46" s="6"/>
      <c r="M46" s="5" t="s">
        <v>59</v>
      </c>
      <c r="N46" s="5" t="s">
        <v>59</v>
      </c>
      <c r="O46" s="6" t="s">
        <v>54</v>
      </c>
    </row>
    <row r="47" spans="1:15" x14ac:dyDescent="0.35">
      <c r="A47" s="5" t="s">
        <v>835</v>
      </c>
      <c r="B47" s="7" t="s">
        <v>790</v>
      </c>
      <c r="C47" s="7" t="s">
        <v>426</v>
      </c>
      <c r="D47" s="6" t="s">
        <v>48</v>
      </c>
      <c r="E47" s="6" t="s">
        <v>49</v>
      </c>
      <c r="F47" s="6" t="s">
        <v>55</v>
      </c>
      <c r="G47" s="6" t="s">
        <v>26</v>
      </c>
      <c r="H47" s="6" t="s">
        <v>52</v>
      </c>
      <c r="I47" s="6" t="s">
        <v>52</v>
      </c>
      <c r="J47" s="6"/>
      <c r="K47" s="6"/>
      <c r="L47" s="6"/>
      <c r="M47" s="5" t="s">
        <v>63</v>
      </c>
      <c r="N47" s="5" t="s">
        <v>63</v>
      </c>
      <c r="O47" s="6" t="s">
        <v>54</v>
      </c>
    </row>
    <row r="48" spans="1:15" x14ac:dyDescent="0.35">
      <c r="A48" s="5" t="s">
        <v>862</v>
      </c>
      <c r="B48" s="6" t="s">
        <v>644</v>
      </c>
      <c r="C48" s="6" t="s">
        <v>280</v>
      </c>
      <c r="D48" s="6" t="s">
        <v>48</v>
      </c>
      <c r="E48" s="6" t="s">
        <v>49</v>
      </c>
      <c r="F48" s="6" t="s">
        <v>55</v>
      </c>
      <c r="G48" s="6" t="s">
        <v>9</v>
      </c>
      <c r="H48" s="6" t="s">
        <v>52</v>
      </c>
      <c r="I48" s="6" t="s">
        <v>52</v>
      </c>
      <c r="J48" s="6" t="s">
        <v>51</v>
      </c>
      <c r="K48" s="6"/>
      <c r="L48" s="6"/>
      <c r="M48" s="5" t="s">
        <v>67</v>
      </c>
      <c r="N48" s="5" t="s">
        <v>67</v>
      </c>
      <c r="O48" s="6" t="s">
        <v>54</v>
      </c>
    </row>
    <row r="49" spans="1:15" x14ac:dyDescent="0.35">
      <c r="A49" s="5" t="s">
        <v>848</v>
      </c>
      <c r="B49" s="7" t="s">
        <v>481</v>
      </c>
      <c r="C49" s="7" t="s">
        <v>117</v>
      </c>
      <c r="D49" s="6" t="s">
        <v>48</v>
      </c>
      <c r="E49" s="6" t="s">
        <v>49</v>
      </c>
      <c r="F49" s="6" t="s">
        <v>50</v>
      </c>
      <c r="G49" s="6" t="s">
        <v>13</v>
      </c>
      <c r="H49" s="6" t="s">
        <v>52</v>
      </c>
      <c r="I49" s="6" t="s">
        <v>52</v>
      </c>
      <c r="J49" s="6"/>
      <c r="K49" s="6"/>
      <c r="L49" s="6"/>
      <c r="M49" s="5" t="s">
        <v>56</v>
      </c>
      <c r="N49" s="5" t="s">
        <v>56</v>
      </c>
      <c r="O49" s="6" t="s">
        <v>54</v>
      </c>
    </row>
    <row r="50" spans="1:15" x14ac:dyDescent="0.35">
      <c r="A50" s="5" t="s">
        <v>837</v>
      </c>
      <c r="B50" s="6" t="s">
        <v>654</v>
      </c>
      <c r="C50" s="6" t="s">
        <v>290</v>
      </c>
      <c r="D50" s="6" t="s">
        <v>48</v>
      </c>
      <c r="E50" s="6" t="s">
        <v>49</v>
      </c>
      <c r="F50" s="6" t="s">
        <v>55</v>
      </c>
      <c r="G50" s="6" t="s">
        <v>29</v>
      </c>
      <c r="H50" s="6" t="s">
        <v>52</v>
      </c>
      <c r="I50" s="6" t="s">
        <v>52</v>
      </c>
      <c r="J50" s="6" t="s">
        <v>51</v>
      </c>
      <c r="K50" s="6"/>
      <c r="L50" s="6"/>
      <c r="M50" s="5" t="s">
        <v>63</v>
      </c>
      <c r="N50" s="5" t="s">
        <v>63</v>
      </c>
      <c r="O50" s="6" t="s">
        <v>54</v>
      </c>
    </row>
    <row r="51" spans="1:15" x14ac:dyDescent="0.35">
      <c r="A51" s="5" t="s">
        <v>862</v>
      </c>
      <c r="B51" s="7" t="s">
        <v>703</v>
      </c>
      <c r="C51" s="7" t="s">
        <v>339</v>
      </c>
      <c r="D51" s="7" t="s">
        <v>48</v>
      </c>
      <c r="E51" s="7" t="s">
        <v>49</v>
      </c>
      <c r="F51" s="7" t="s">
        <v>55</v>
      </c>
      <c r="G51" s="7" t="s">
        <v>5</v>
      </c>
      <c r="H51" s="7" t="s">
        <v>52</v>
      </c>
      <c r="I51" s="7" t="s">
        <v>52</v>
      </c>
      <c r="J51" s="7"/>
      <c r="K51" s="7"/>
      <c r="L51" s="7"/>
      <c r="M51" s="5" t="s">
        <v>67</v>
      </c>
      <c r="N51" s="5" t="s">
        <v>67</v>
      </c>
      <c r="O51" s="7" t="s">
        <v>54</v>
      </c>
    </row>
    <row r="52" spans="1:15" x14ac:dyDescent="0.35">
      <c r="A52" s="5" t="s">
        <v>842</v>
      </c>
      <c r="B52" s="6" t="s">
        <v>530</v>
      </c>
      <c r="C52" s="6" t="s">
        <v>166</v>
      </c>
      <c r="D52" s="7" t="s">
        <v>48</v>
      </c>
      <c r="E52" s="7" t="s">
        <v>49</v>
      </c>
      <c r="F52" s="7" t="s">
        <v>55</v>
      </c>
      <c r="G52" s="7" t="s">
        <v>5</v>
      </c>
      <c r="H52" s="7" t="s">
        <v>52</v>
      </c>
      <c r="I52" s="7" t="s">
        <v>60</v>
      </c>
      <c r="J52" s="7" t="s">
        <v>51</v>
      </c>
      <c r="K52" s="7"/>
      <c r="L52" s="7" t="s">
        <v>70</v>
      </c>
      <c r="M52" s="5" t="s">
        <v>57</v>
      </c>
      <c r="N52" s="5" t="s">
        <v>57</v>
      </c>
      <c r="O52" s="7" t="s">
        <v>54</v>
      </c>
    </row>
    <row r="53" spans="1:15" x14ac:dyDescent="0.35">
      <c r="A53" s="5" t="s">
        <v>863</v>
      </c>
      <c r="B53" s="6" t="s">
        <v>501</v>
      </c>
      <c r="C53" s="6" t="s">
        <v>137</v>
      </c>
      <c r="D53" s="6" t="s">
        <v>48</v>
      </c>
      <c r="E53" s="6" t="s">
        <v>49</v>
      </c>
      <c r="F53" s="6" t="s">
        <v>50</v>
      </c>
      <c r="G53" s="6" t="s">
        <v>5</v>
      </c>
      <c r="H53" s="6" t="s">
        <v>52</v>
      </c>
      <c r="I53" s="6" t="s">
        <v>60</v>
      </c>
      <c r="J53" s="6" t="s">
        <v>51</v>
      </c>
      <c r="K53" s="6"/>
      <c r="L53" s="6"/>
      <c r="M53" s="5" t="s">
        <v>56</v>
      </c>
      <c r="N53" s="5" t="s">
        <v>56</v>
      </c>
      <c r="O53" s="6" t="s">
        <v>54</v>
      </c>
    </row>
    <row r="54" spans="1:15" x14ac:dyDescent="0.35">
      <c r="A54" s="5" t="s">
        <v>864</v>
      </c>
      <c r="B54" s="6" t="s">
        <v>506</v>
      </c>
      <c r="C54" s="6" t="s">
        <v>142</v>
      </c>
      <c r="D54" s="7" t="s">
        <v>48</v>
      </c>
      <c r="E54" s="7" t="s">
        <v>49</v>
      </c>
      <c r="F54" s="7" t="s">
        <v>50</v>
      </c>
      <c r="G54" s="7" t="s">
        <v>9</v>
      </c>
      <c r="H54" s="7" t="s">
        <v>51</v>
      </c>
      <c r="I54" s="7" t="s">
        <v>52</v>
      </c>
      <c r="J54" s="7"/>
      <c r="K54" s="7"/>
      <c r="L54" s="7"/>
      <c r="M54" s="5" t="s">
        <v>57</v>
      </c>
      <c r="N54" s="5" t="s">
        <v>57</v>
      </c>
      <c r="O54" s="7" t="s">
        <v>54</v>
      </c>
    </row>
    <row r="55" spans="1:15" x14ac:dyDescent="0.35">
      <c r="A55" s="5" t="s">
        <v>865</v>
      </c>
      <c r="B55" s="7" t="s">
        <v>592</v>
      </c>
      <c r="C55" s="7" t="s">
        <v>228</v>
      </c>
      <c r="D55" s="7" t="s">
        <v>48</v>
      </c>
      <c r="E55" s="7" t="s">
        <v>49</v>
      </c>
      <c r="F55" s="7" t="s">
        <v>50</v>
      </c>
      <c r="G55" s="7" t="s">
        <v>18</v>
      </c>
      <c r="H55" s="7" t="s">
        <v>52</v>
      </c>
      <c r="I55" s="7" t="s">
        <v>52</v>
      </c>
      <c r="J55" s="7" t="s">
        <v>51</v>
      </c>
      <c r="K55" s="7"/>
      <c r="L55" s="7"/>
      <c r="M55" s="5" t="s">
        <v>82</v>
      </c>
      <c r="N55" s="5" t="s">
        <v>82</v>
      </c>
      <c r="O55" s="7" t="s">
        <v>54</v>
      </c>
    </row>
    <row r="56" spans="1:15" x14ac:dyDescent="0.35">
      <c r="A56" s="5" t="s">
        <v>866</v>
      </c>
      <c r="B56" s="6" t="s">
        <v>828</v>
      </c>
      <c r="C56" s="6" t="s">
        <v>464</v>
      </c>
      <c r="D56" s="6" t="s">
        <v>48</v>
      </c>
      <c r="E56" s="6" t="s">
        <v>49</v>
      </c>
      <c r="F56" s="6" t="s">
        <v>50</v>
      </c>
      <c r="G56" s="6" t="s">
        <v>0</v>
      </c>
      <c r="H56" s="6" t="s">
        <v>52</v>
      </c>
      <c r="I56" s="6" t="s">
        <v>52</v>
      </c>
      <c r="J56" s="6" t="s">
        <v>51</v>
      </c>
      <c r="K56" s="6" t="s">
        <v>51</v>
      </c>
      <c r="L56" s="6"/>
      <c r="M56" s="5" t="s">
        <v>75</v>
      </c>
      <c r="N56" s="5" t="s">
        <v>75</v>
      </c>
      <c r="O56" s="6" t="s">
        <v>54</v>
      </c>
    </row>
    <row r="57" spans="1:15" x14ac:dyDescent="0.35">
      <c r="A57" s="5" t="s">
        <v>867</v>
      </c>
      <c r="B57" s="7" t="s">
        <v>661</v>
      </c>
      <c r="C57" s="7" t="s">
        <v>297</v>
      </c>
      <c r="D57" s="6" t="s">
        <v>48</v>
      </c>
      <c r="E57" s="6" t="s">
        <v>49</v>
      </c>
      <c r="F57" s="6" t="s">
        <v>50</v>
      </c>
      <c r="G57" s="6" t="s">
        <v>26</v>
      </c>
      <c r="H57" s="6" t="s">
        <v>52</v>
      </c>
      <c r="I57" s="6" t="s">
        <v>81</v>
      </c>
      <c r="J57" s="6"/>
      <c r="K57" s="6"/>
      <c r="L57" s="6"/>
      <c r="M57" s="5" t="s">
        <v>63</v>
      </c>
      <c r="N57" s="5" t="s">
        <v>63</v>
      </c>
      <c r="O57" s="6" t="s">
        <v>54</v>
      </c>
    </row>
    <row r="58" spans="1:15" x14ac:dyDescent="0.35">
      <c r="A58" s="5" t="s">
        <v>843</v>
      </c>
      <c r="B58" s="6" t="s">
        <v>792</v>
      </c>
      <c r="C58" s="6" t="s">
        <v>428</v>
      </c>
      <c r="D58" s="6" t="s">
        <v>48</v>
      </c>
      <c r="E58" s="6" t="s">
        <v>49</v>
      </c>
      <c r="F58" s="6" t="s">
        <v>50</v>
      </c>
      <c r="G58" s="6" t="s">
        <v>26</v>
      </c>
      <c r="H58" s="6" t="s">
        <v>52</v>
      </c>
      <c r="I58" s="6" t="s">
        <v>60</v>
      </c>
      <c r="J58" s="6" t="s">
        <v>51</v>
      </c>
      <c r="K58" s="6"/>
      <c r="L58" s="6"/>
      <c r="M58" s="5" t="s">
        <v>67</v>
      </c>
      <c r="N58" s="5" t="s">
        <v>67</v>
      </c>
      <c r="O58" s="6" t="s">
        <v>54</v>
      </c>
    </row>
    <row r="59" spans="1:15" x14ac:dyDescent="0.35">
      <c r="A59" s="5" t="s">
        <v>868</v>
      </c>
      <c r="B59" s="6" t="s">
        <v>546</v>
      </c>
      <c r="C59" s="6" t="s">
        <v>182</v>
      </c>
      <c r="D59" s="6" t="s">
        <v>48</v>
      </c>
      <c r="E59" s="6" t="s">
        <v>49</v>
      </c>
      <c r="F59" s="6" t="s">
        <v>50</v>
      </c>
      <c r="G59" s="6" t="s">
        <v>5</v>
      </c>
      <c r="H59" s="6" t="s">
        <v>52</v>
      </c>
      <c r="I59" s="6" t="s">
        <v>52</v>
      </c>
      <c r="J59" s="6"/>
      <c r="K59" s="6"/>
      <c r="L59" s="6"/>
      <c r="M59" s="5" t="s">
        <v>63</v>
      </c>
      <c r="N59" s="5" t="s">
        <v>63</v>
      </c>
      <c r="O59" s="6" t="s">
        <v>54</v>
      </c>
    </row>
    <row r="60" spans="1:15" x14ac:dyDescent="0.35">
      <c r="A60" s="5" t="s">
        <v>869</v>
      </c>
      <c r="B60" s="6" t="s">
        <v>791</v>
      </c>
      <c r="C60" s="6" t="s">
        <v>427</v>
      </c>
      <c r="D60" s="7" t="s">
        <v>48</v>
      </c>
      <c r="E60" s="7" t="s">
        <v>49</v>
      </c>
      <c r="F60" s="7" t="s">
        <v>55</v>
      </c>
      <c r="G60" s="7" t="s">
        <v>5</v>
      </c>
      <c r="H60" s="7" t="s">
        <v>52</v>
      </c>
      <c r="I60" s="7" t="s">
        <v>60</v>
      </c>
      <c r="J60" s="7" t="s">
        <v>51</v>
      </c>
      <c r="K60" s="7" t="s">
        <v>51</v>
      </c>
      <c r="L60" s="7" t="s">
        <v>91</v>
      </c>
      <c r="M60" s="5" t="s">
        <v>66</v>
      </c>
      <c r="N60" s="5" t="s">
        <v>66</v>
      </c>
      <c r="O60" s="7" t="s">
        <v>54</v>
      </c>
    </row>
    <row r="61" spans="1:15" x14ac:dyDescent="0.35">
      <c r="A61" s="5" t="s">
        <v>870</v>
      </c>
      <c r="B61" s="6" t="s">
        <v>521</v>
      </c>
      <c r="C61" s="6" t="s">
        <v>157</v>
      </c>
      <c r="D61" s="7" t="s">
        <v>48</v>
      </c>
      <c r="E61" s="7" t="s">
        <v>49</v>
      </c>
      <c r="F61" s="7" t="s">
        <v>50</v>
      </c>
      <c r="G61" s="7" t="s">
        <v>22</v>
      </c>
      <c r="H61" s="7" t="s">
        <v>52</v>
      </c>
      <c r="I61" s="7" t="s">
        <v>52</v>
      </c>
      <c r="J61" s="7"/>
      <c r="K61" s="7"/>
      <c r="L61" s="7"/>
      <c r="M61" s="5" t="s">
        <v>67</v>
      </c>
      <c r="N61" s="5" t="s">
        <v>67</v>
      </c>
      <c r="O61" s="7" t="s">
        <v>54</v>
      </c>
    </row>
    <row r="62" spans="1:15" x14ac:dyDescent="0.35">
      <c r="A62" s="5" t="s">
        <v>845</v>
      </c>
      <c r="B62" s="7" t="s">
        <v>505</v>
      </c>
      <c r="C62" s="7" t="s">
        <v>141</v>
      </c>
      <c r="D62" s="6" t="s">
        <v>48</v>
      </c>
      <c r="E62" s="6" t="s">
        <v>49</v>
      </c>
      <c r="F62" s="6" t="s">
        <v>55</v>
      </c>
      <c r="G62" s="6" t="s">
        <v>0</v>
      </c>
      <c r="H62" s="6" t="s">
        <v>52</v>
      </c>
      <c r="I62" s="6" t="s">
        <v>52</v>
      </c>
      <c r="J62" s="6" t="s">
        <v>51</v>
      </c>
      <c r="K62" s="6"/>
      <c r="L62" s="6"/>
      <c r="M62" s="5" t="s">
        <v>57</v>
      </c>
      <c r="N62" s="5" t="s">
        <v>57</v>
      </c>
      <c r="O62" s="6" t="s">
        <v>54</v>
      </c>
    </row>
    <row r="63" spans="1:15" x14ac:dyDescent="0.35">
      <c r="A63" s="5" t="s">
        <v>849</v>
      </c>
      <c r="B63" s="6" t="s">
        <v>540</v>
      </c>
      <c r="C63" s="6" t="s">
        <v>176</v>
      </c>
      <c r="D63" s="6" t="s">
        <v>48</v>
      </c>
      <c r="E63" s="6" t="s">
        <v>49</v>
      </c>
      <c r="F63" s="6" t="s">
        <v>55</v>
      </c>
      <c r="G63" s="6" t="s">
        <v>26</v>
      </c>
      <c r="H63" s="6" t="s">
        <v>52</v>
      </c>
      <c r="I63" s="6" t="s">
        <v>52</v>
      </c>
      <c r="J63" s="6" t="s">
        <v>51</v>
      </c>
      <c r="K63" s="6"/>
      <c r="L63" s="6"/>
      <c r="M63" s="5" t="s">
        <v>59</v>
      </c>
      <c r="N63" s="5" t="s">
        <v>59</v>
      </c>
      <c r="O63" s="6" t="s">
        <v>54</v>
      </c>
    </row>
    <row r="64" spans="1:15" x14ac:dyDescent="0.35">
      <c r="A64" s="5" t="s">
        <v>871</v>
      </c>
      <c r="B64" s="6" t="s">
        <v>515</v>
      </c>
      <c r="C64" s="6" t="s">
        <v>151</v>
      </c>
      <c r="D64" s="7" t="s">
        <v>48</v>
      </c>
      <c r="E64" s="7" t="s">
        <v>49</v>
      </c>
      <c r="F64" s="7" t="s">
        <v>50</v>
      </c>
      <c r="G64" s="7" t="s">
        <v>31</v>
      </c>
      <c r="H64" s="7" t="s">
        <v>52</v>
      </c>
      <c r="I64" s="7" t="s">
        <v>52</v>
      </c>
      <c r="J64" s="7"/>
      <c r="K64" s="7"/>
      <c r="L64" s="7"/>
      <c r="M64" s="5" t="s">
        <v>56</v>
      </c>
      <c r="N64" s="5" t="s">
        <v>56</v>
      </c>
      <c r="O64" s="7" t="s">
        <v>54</v>
      </c>
    </row>
    <row r="65" spans="1:15" x14ac:dyDescent="0.35">
      <c r="A65" s="5" t="s">
        <v>854</v>
      </c>
      <c r="B65" s="6" t="s">
        <v>584</v>
      </c>
      <c r="C65" s="6" t="s">
        <v>220</v>
      </c>
      <c r="D65" s="7" t="s">
        <v>48</v>
      </c>
      <c r="E65" s="7" t="s">
        <v>49</v>
      </c>
      <c r="F65" s="7" t="s">
        <v>50</v>
      </c>
      <c r="G65" s="7" t="s">
        <v>5</v>
      </c>
      <c r="H65" s="7" t="s">
        <v>51</v>
      </c>
      <c r="I65" s="7" t="s">
        <v>52</v>
      </c>
      <c r="J65" s="7" t="s">
        <v>51</v>
      </c>
      <c r="K65" s="7" t="s">
        <v>80</v>
      </c>
      <c r="L65" s="7"/>
      <c r="M65" s="5" t="s">
        <v>69</v>
      </c>
      <c r="N65" s="5" t="s">
        <v>69</v>
      </c>
      <c r="O65" s="7" t="s">
        <v>54</v>
      </c>
    </row>
    <row r="66" spans="1:15" x14ac:dyDescent="0.35">
      <c r="A66" s="5" t="s">
        <v>850</v>
      </c>
      <c r="B66" s="6" t="s">
        <v>474</v>
      </c>
      <c r="C66" s="6" t="s">
        <v>110</v>
      </c>
      <c r="D66" s="7" t="s">
        <v>48</v>
      </c>
      <c r="E66" s="7" t="s">
        <v>49</v>
      </c>
      <c r="F66" s="7" t="s">
        <v>50</v>
      </c>
      <c r="G66" s="7" t="s">
        <v>29</v>
      </c>
      <c r="H66" s="7" t="s">
        <v>52</v>
      </c>
      <c r="I66" s="7" t="s">
        <v>52</v>
      </c>
      <c r="J66" s="7"/>
      <c r="K66" s="7"/>
      <c r="L66" s="7"/>
      <c r="M66" s="5" t="s">
        <v>57</v>
      </c>
      <c r="N66" s="5" t="s">
        <v>57</v>
      </c>
      <c r="O66" s="7" t="s">
        <v>54</v>
      </c>
    </row>
    <row r="67" spans="1:15" x14ac:dyDescent="0.35">
      <c r="A67" s="5" t="s">
        <v>855</v>
      </c>
      <c r="B67" s="6" t="s">
        <v>768</v>
      </c>
      <c r="C67" s="6" t="s">
        <v>404</v>
      </c>
      <c r="D67" s="7" t="s">
        <v>48</v>
      </c>
      <c r="E67" s="7" t="s">
        <v>49</v>
      </c>
      <c r="F67" s="7" t="s">
        <v>55</v>
      </c>
      <c r="G67" s="7" t="s">
        <v>9</v>
      </c>
      <c r="H67" s="7" t="s">
        <v>52</v>
      </c>
      <c r="I67" s="7" t="s">
        <v>52</v>
      </c>
      <c r="J67" s="7"/>
      <c r="K67" s="7"/>
      <c r="L67" s="7"/>
      <c r="M67" s="5" t="s">
        <v>57</v>
      </c>
      <c r="N67" s="5" t="s">
        <v>57</v>
      </c>
      <c r="O67" s="7" t="s">
        <v>54</v>
      </c>
    </row>
    <row r="68" spans="1:15" x14ac:dyDescent="0.35">
      <c r="A68" s="5" t="s">
        <v>872</v>
      </c>
      <c r="B68" s="7" t="s">
        <v>715</v>
      </c>
      <c r="C68" s="7" t="s">
        <v>351</v>
      </c>
      <c r="D68" s="6" t="s">
        <v>48</v>
      </c>
      <c r="E68" s="6" t="s">
        <v>49</v>
      </c>
      <c r="F68" s="6" t="s">
        <v>55</v>
      </c>
      <c r="G68" s="6" t="s">
        <v>9</v>
      </c>
      <c r="H68" s="6" t="s">
        <v>51</v>
      </c>
      <c r="I68" s="6" t="s">
        <v>52</v>
      </c>
      <c r="J68" s="6"/>
      <c r="K68" s="6"/>
      <c r="L68" s="6"/>
      <c r="M68" s="5" t="s">
        <v>57</v>
      </c>
      <c r="N68" s="5" t="s">
        <v>57</v>
      </c>
      <c r="O68" s="6" t="s">
        <v>54</v>
      </c>
    </row>
    <row r="69" spans="1:15" x14ac:dyDescent="0.35">
      <c r="A69" s="5" t="s">
        <v>873</v>
      </c>
      <c r="B69" s="7" t="s">
        <v>637</v>
      </c>
      <c r="C69" s="7" t="s">
        <v>273</v>
      </c>
      <c r="D69" s="7" t="s">
        <v>48</v>
      </c>
      <c r="E69" s="7" t="s">
        <v>49</v>
      </c>
      <c r="F69" s="7" t="s">
        <v>50</v>
      </c>
      <c r="G69" s="7" t="s">
        <v>29</v>
      </c>
      <c r="H69" s="7" t="s">
        <v>52</v>
      </c>
      <c r="I69" s="7" t="s">
        <v>60</v>
      </c>
      <c r="J69" s="7" t="s">
        <v>51</v>
      </c>
      <c r="K69" s="7"/>
      <c r="L69" s="7"/>
      <c r="M69" s="5" t="s">
        <v>57</v>
      </c>
      <c r="N69" s="5" t="s">
        <v>57</v>
      </c>
      <c r="O69" s="7" t="s">
        <v>54</v>
      </c>
    </row>
    <row r="70" spans="1:15" x14ac:dyDescent="0.35">
      <c r="A70" s="5" t="s">
        <v>845</v>
      </c>
      <c r="B70" s="7" t="s">
        <v>499</v>
      </c>
      <c r="C70" s="7" t="s">
        <v>135</v>
      </c>
      <c r="D70" s="6" t="s">
        <v>48</v>
      </c>
      <c r="E70" s="6" t="s">
        <v>49</v>
      </c>
      <c r="F70" s="6" t="s">
        <v>55</v>
      </c>
      <c r="G70" s="6" t="s">
        <v>11</v>
      </c>
      <c r="H70" s="6" t="s">
        <v>52</v>
      </c>
      <c r="I70" s="6" t="s">
        <v>52</v>
      </c>
      <c r="J70" s="6"/>
      <c r="K70" s="6"/>
      <c r="L70" s="6"/>
      <c r="M70" s="5" t="s">
        <v>57</v>
      </c>
      <c r="N70" s="5" t="s">
        <v>57</v>
      </c>
      <c r="O70" s="6" t="s">
        <v>54</v>
      </c>
    </row>
    <row r="71" spans="1:15" x14ac:dyDescent="0.35">
      <c r="A71" s="5" t="s">
        <v>874</v>
      </c>
      <c r="B71" s="6" t="s">
        <v>606</v>
      </c>
      <c r="C71" s="6" t="s">
        <v>242</v>
      </c>
      <c r="D71" s="7" t="s">
        <v>48</v>
      </c>
      <c r="E71" s="7" t="s">
        <v>49</v>
      </c>
      <c r="F71" s="7" t="s">
        <v>55</v>
      </c>
      <c r="G71" s="7" t="s">
        <v>26</v>
      </c>
      <c r="H71" s="7" t="s">
        <v>52</v>
      </c>
      <c r="I71" s="7" t="s">
        <v>52</v>
      </c>
      <c r="J71" s="7" t="s">
        <v>51</v>
      </c>
      <c r="K71" s="7"/>
      <c r="L71" s="7"/>
      <c r="M71" s="5" t="s">
        <v>66</v>
      </c>
      <c r="N71" s="5" t="s">
        <v>66</v>
      </c>
      <c r="O71" s="7" t="s">
        <v>54</v>
      </c>
    </row>
    <row r="72" spans="1:15" x14ac:dyDescent="0.35">
      <c r="A72" s="5" t="s">
        <v>875</v>
      </c>
      <c r="B72" s="6" t="s">
        <v>618</v>
      </c>
      <c r="C72" s="6" t="s">
        <v>254</v>
      </c>
      <c r="D72" s="7" t="s">
        <v>48</v>
      </c>
      <c r="E72" s="7" t="s">
        <v>49</v>
      </c>
      <c r="F72" s="7" t="s">
        <v>50</v>
      </c>
      <c r="G72" s="7" t="s">
        <v>15</v>
      </c>
      <c r="H72" s="7" t="s">
        <v>52</v>
      </c>
      <c r="I72" s="7" t="s">
        <v>52</v>
      </c>
      <c r="J72" s="7" t="s">
        <v>51</v>
      </c>
      <c r="K72" s="7"/>
      <c r="L72" s="7"/>
      <c r="M72" s="5" t="s">
        <v>67</v>
      </c>
      <c r="N72" s="5" t="s">
        <v>67</v>
      </c>
      <c r="O72" s="7" t="s">
        <v>54</v>
      </c>
    </row>
    <row r="73" spans="1:15" x14ac:dyDescent="0.35">
      <c r="A73" s="5" t="s">
        <v>876</v>
      </c>
      <c r="B73" s="6" t="s">
        <v>596</v>
      </c>
      <c r="C73" s="6" t="s">
        <v>232</v>
      </c>
      <c r="D73" s="7" t="s">
        <v>48</v>
      </c>
      <c r="E73" s="7" t="s">
        <v>49</v>
      </c>
      <c r="F73" s="7" t="s">
        <v>55</v>
      </c>
      <c r="G73" s="7" t="s">
        <v>7</v>
      </c>
      <c r="H73" s="7" t="s">
        <v>52</v>
      </c>
      <c r="I73" s="7" t="s">
        <v>52</v>
      </c>
      <c r="J73" s="7"/>
      <c r="K73" s="7"/>
      <c r="L73" s="7"/>
      <c r="M73" s="5" t="s">
        <v>63</v>
      </c>
      <c r="N73" s="5" t="s">
        <v>63</v>
      </c>
      <c r="O73" s="7" t="s">
        <v>54</v>
      </c>
    </row>
    <row r="74" spans="1:15" x14ac:dyDescent="0.35">
      <c r="A74" s="5" t="s">
        <v>850</v>
      </c>
      <c r="B74" s="6" t="s">
        <v>621</v>
      </c>
      <c r="C74" s="6" t="s">
        <v>257</v>
      </c>
      <c r="D74" s="6" t="s">
        <v>48</v>
      </c>
      <c r="E74" s="6" t="s">
        <v>49</v>
      </c>
      <c r="F74" s="6" t="s">
        <v>50</v>
      </c>
      <c r="G74" s="6" t="s">
        <v>1</v>
      </c>
      <c r="H74" s="6" t="s">
        <v>52</v>
      </c>
      <c r="I74" s="6" t="s">
        <v>52</v>
      </c>
      <c r="J74" s="6"/>
      <c r="K74" s="6"/>
      <c r="L74" s="6"/>
      <c r="M74" s="5" t="s">
        <v>57</v>
      </c>
      <c r="N74" s="5" t="s">
        <v>57</v>
      </c>
      <c r="O74" s="6" t="s">
        <v>54</v>
      </c>
    </row>
    <row r="75" spans="1:15" x14ac:dyDescent="0.35">
      <c r="A75" s="5" t="s">
        <v>831</v>
      </c>
      <c r="B75" s="7" t="s">
        <v>778</v>
      </c>
      <c r="C75" s="7" t="s">
        <v>414</v>
      </c>
      <c r="D75" s="7" t="s">
        <v>48</v>
      </c>
      <c r="E75" s="7" t="s">
        <v>49</v>
      </c>
      <c r="F75" s="7" t="s">
        <v>55</v>
      </c>
      <c r="G75" s="7" t="s">
        <v>9</v>
      </c>
      <c r="H75" s="7" t="s">
        <v>52</v>
      </c>
      <c r="I75" s="7" t="s">
        <v>60</v>
      </c>
      <c r="J75" s="7" t="s">
        <v>51</v>
      </c>
      <c r="K75" s="7"/>
      <c r="L75" s="7"/>
      <c r="M75" s="5" t="s">
        <v>59</v>
      </c>
      <c r="N75" s="5" t="s">
        <v>59</v>
      </c>
      <c r="O75" s="7" t="s">
        <v>54</v>
      </c>
    </row>
    <row r="76" spans="1:15" x14ac:dyDescent="0.35">
      <c r="A76" s="5" t="s">
        <v>877</v>
      </c>
      <c r="B76" s="7" t="s">
        <v>475</v>
      </c>
      <c r="C76" s="7" t="s">
        <v>111</v>
      </c>
      <c r="D76" s="6" t="s">
        <v>48</v>
      </c>
      <c r="E76" s="6" t="s">
        <v>49</v>
      </c>
      <c r="F76" s="6" t="s">
        <v>50</v>
      </c>
      <c r="G76" s="6" t="s">
        <v>26</v>
      </c>
      <c r="H76" s="6" t="s">
        <v>52</v>
      </c>
      <c r="I76" s="6" t="s">
        <v>60</v>
      </c>
      <c r="J76" s="6"/>
      <c r="K76" s="6"/>
      <c r="L76" s="6"/>
      <c r="M76" s="5" t="s">
        <v>63</v>
      </c>
      <c r="N76" s="5" t="s">
        <v>63</v>
      </c>
      <c r="O76" s="6" t="s">
        <v>54</v>
      </c>
    </row>
    <row r="77" spans="1:15" x14ac:dyDescent="0.35">
      <c r="A77" s="5" t="s">
        <v>878</v>
      </c>
      <c r="B77" s="6" t="s">
        <v>821</v>
      </c>
      <c r="C77" s="6" t="s">
        <v>457</v>
      </c>
      <c r="D77" s="7" t="s">
        <v>48</v>
      </c>
      <c r="E77" s="7" t="s">
        <v>49</v>
      </c>
      <c r="F77" s="7" t="s">
        <v>55</v>
      </c>
      <c r="G77" s="7" t="s">
        <v>29</v>
      </c>
      <c r="H77" s="7" t="s">
        <v>52</v>
      </c>
      <c r="I77" s="7" t="s">
        <v>52</v>
      </c>
      <c r="J77" s="7" t="s">
        <v>51</v>
      </c>
      <c r="K77" s="7" t="s">
        <v>51</v>
      </c>
      <c r="L77" s="7"/>
      <c r="M77" s="5" t="s">
        <v>97</v>
      </c>
      <c r="N77" s="5" t="s">
        <v>97</v>
      </c>
      <c r="O77" s="7" t="s">
        <v>54</v>
      </c>
    </row>
    <row r="78" spans="1:15" x14ac:dyDescent="0.35">
      <c r="A78" s="5" t="s">
        <v>845</v>
      </c>
      <c r="B78" s="7" t="s">
        <v>718</v>
      </c>
      <c r="C78" s="7" t="s">
        <v>354</v>
      </c>
      <c r="D78" s="7" t="s">
        <v>48</v>
      </c>
      <c r="E78" s="7" t="s">
        <v>49</v>
      </c>
      <c r="F78" s="7" t="s">
        <v>55</v>
      </c>
      <c r="G78" s="7" t="s">
        <v>17</v>
      </c>
      <c r="H78" s="7" t="s">
        <v>52</v>
      </c>
      <c r="I78" s="7" t="s">
        <v>52</v>
      </c>
      <c r="J78" s="7"/>
      <c r="K78" s="7"/>
      <c r="L78" s="7"/>
      <c r="M78" s="5" t="s">
        <v>57</v>
      </c>
      <c r="N78" s="5" t="s">
        <v>57</v>
      </c>
      <c r="O78" s="7" t="s">
        <v>54</v>
      </c>
    </row>
    <row r="79" spans="1:15" x14ac:dyDescent="0.35">
      <c r="A79" s="5" t="s">
        <v>879</v>
      </c>
      <c r="B79" s="6" t="s">
        <v>590</v>
      </c>
      <c r="C79" s="6" t="s">
        <v>226</v>
      </c>
      <c r="D79" s="7" t="s">
        <v>48</v>
      </c>
      <c r="E79" s="7" t="s">
        <v>49</v>
      </c>
      <c r="F79" s="7" t="s">
        <v>50</v>
      </c>
      <c r="G79" s="7" t="s">
        <v>16</v>
      </c>
      <c r="H79" s="7" t="s">
        <v>52</v>
      </c>
      <c r="I79" s="7" t="s">
        <v>60</v>
      </c>
      <c r="J79" s="7" t="s">
        <v>51</v>
      </c>
      <c r="K79" s="7"/>
      <c r="L79" s="7"/>
      <c r="M79" s="5" t="s">
        <v>61</v>
      </c>
      <c r="N79" s="5" t="s">
        <v>61</v>
      </c>
      <c r="O79" s="7" t="s">
        <v>54</v>
      </c>
    </row>
    <row r="80" spans="1:15" x14ac:dyDescent="0.35">
      <c r="A80" s="5" t="s">
        <v>867</v>
      </c>
      <c r="B80" s="6" t="s">
        <v>747</v>
      </c>
      <c r="C80" s="6" t="s">
        <v>383</v>
      </c>
      <c r="D80" s="6" t="s">
        <v>48</v>
      </c>
      <c r="E80" s="6" t="s">
        <v>49</v>
      </c>
      <c r="F80" s="6" t="s">
        <v>50</v>
      </c>
      <c r="G80" s="6" t="s">
        <v>9</v>
      </c>
      <c r="H80" s="6" t="s">
        <v>52</v>
      </c>
      <c r="I80" s="6" t="s">
        <v>60</v>
      </c>
      <c r="J80" s="6" t="s">
        <v>51</v>
      </c>
      <c r="K80" s="6" t="s">
        <v>51</v>
      </c>
      <c r="L80" s="6"/>
      <c r="M80" s="5" t="s">
        <v>63</v>
      </c>
      <c r="N80" s="5" t="s">
        <v>63</v>
      </c>
      <c r="O80" s="6" t="s">
        <v>54</v>
      </c>
    </row>
    <row r="81" spans="1:15" x14ac:dyDescent="0.35">
      <c r="A81" s="5" t="s">
        <v>871</v>
      </c>
      <c r="B81" s="7" t="s">
        <v>559</v>
      </c>
      <c r="C81" s="7" t="s">
        <v>195</v>
      </c>
      <c r="D81" s="7" t="s">
        <v>48</v>
      </c>
      <c r="E81" s="7" t="s">
        <v>49</v>
      </c>
      <c r="F81" s="7" t="s">
        <v>50</v>
      </c>
      <c r="G81" s="7" t="s">
        <v>9</v>
      </c>
      <c r="H81" s="7" t="s">
        <v>51</v>
      </c>
      <c r="I81" s="7" t="s">
        <v>52</v>
      </c>
      <c r="J81" s="7"/>
      <c r="K81" s="7"/>
      <c r="L81" s="7"/>
      <c r="M81" s="5" t="s">
        <v>56</v>
      </c>
      <c r="N81" s="5" t="s">
        <v>56</v>
      </c>
      <c r="O81" s="7" t="s">
        <v>54</v>
      </c>
    </row>
    <row r="82" spans="1:15" x14ac:dyDescent="0.35">
      <c r="A82" s="5" t="s">
        <v>880</v>
      </c>
      <c r="B82" s="6" t="s">
        <v>518</v>
      </c>
      <c r="C82" s="6" t="s">
        <v>154</v>
      </c>
      <c r="D82" s="6" t="s">
        <v>48</v>
      </c>
      <c r="E82" s="6" t="s">
        <v>49</v>
      </c>
      <c r="F82" s="6" t="s">
        <v>50</v>
      </c>
      <c r="G82" s="6" t="s">
        <v>5</v>
      </c>
      <c r="H82" s="6" t="s">
        <v>51</v>
      </c>
      <c r="I82" s="6" t="s">
        <v>52</v>
      </c>
      <c r="J82" s="6"/>
      <c r="K82" s="6"/>
      <c r="L82" s="6"/>
      <c r="M82" s="5" t="s">
        <v>59</v>
      </c>
      <c r="N82" s="5" t="s">
        <v>59</v>
      </c>
      <c r="O82" s="6" t="s">
        <v>54</v>
      </c>
    </row>
    <row r="83" spans="1:15" x14ac:dyDescent="0.35">
      <c r="A83" s="5" t="s">
        <v>835</v>
      </c>
      <c r="B83" s="6" t="s">
        <v>807</v>
      </c>
      <c r="C83" s="6" t="s">
        <v>443</v>
      </c>
      <c r="D83" s="7" t="s">
        <v>48</v>
      </c>
      <c r="E83" s="7" t="s">
        <v>49</v>
      </c>
      <c r="F83" s="7" t="s">
        <v>55</v>
      </c>
      <c r="G83" s="7" t="s">
        <v>26</v>
      </c>
      <c r="H83" s="7" t="s">
        <v>52</v>
      </c>
      <c r="I83" s="7" t="s">
        <v>52</v>
      </c>
      <c r="J83" s="7" t="s">
        <v>51</v>
      </c>
      <c r="K83" s="7" t="s">
        <v>51</v>
      </c>
      <c r="L83" s="7" t="s">
        <v>91</v>
      </c>
      <c r="M83" s="5" t="s">
        <v>63</v>
      </c>
      <c r="N83" s="5" t="s">
        <v>63</v>
      </c>
      <c r="O83" s="7" t="s">
        <v>54</v>
      </c>
    </row>
    <row r="84" spans="1:15" x14ac:dyDescent="0.35">
      <c r="A84" s="5" t="s">
        <v>881</v>
      </c>
      <c r="B84" s="6" t="s">
        <v>627</v>
      </c>
      <c r="C84" s="6" t="s">
        <v>263</v>
      </c>
      <c r="D84" s="7" t="s">
        <v>48</v>
      </c>
      <c r="E84" s="7" t="s">
        <v>49</v>
      </c>
      <c r="F84" s="7" t="s">
        <v>50</v>
      </c>
      <c r="G84" s="7" t="s">
        <v>5</v>
      </c>
      <c r="H84" s="7" t="s">
        <v>52</v>
      </c>
      <c r="I84" s="7" t="s">
        <v>52</v>
      </c>
      <c r="J84" s="7" t="s">
        <v>51</v>
      </c>
      <c r="K84" s="7" t="s">
        <v>51</v>
      </c>
      <c r="L84" s="7"/>
      <c r="M84" s="5" t="s">
        <v>67</v>
      </c>
      <c r="N84" s="5" t="s">
        <v>67</v>
      </c>
      <c r="O84" s="7" t="s">
        <v>54</v>
      </c>
    </row>
    <row r="85" spans="1:15" x14ac:dyDescent="0.35">
      <c r="A85" s="5" t="s">
        <v>842</v>
      </c>
      <c r="B85" s="6" t="s">
        <v>767</v>
      </c>
      <c r="C85" s="6" t="s">
        <v>403</v>
      </c>
      <c r="D85" s="6" t="s">
        <v>48</v>
      </c>
      <c r="E85" s="6" t="s">
        <v>49</v>
      </c>
      <c r="F85" s="6" t="s">
        <v>55</v>
      </c>
      <c r="G85" s="6" t="s">
        <v>32</v>
      </c>
      <c r="H85" s="6" t="s">
        <v>52</v>
      </c>
      <c r="I85" s="6" t="s">
        <v>52</v>
      </c>
      <c r="J85" s="6"/>
      <c r="K85" s="6"/>
      <c r="L85" s="6"/>
      <c r="M85" s="5" t="s">
        <v>57</v>
      </c>
      <c r="N85" s="5" t="s">
        <v>57</v>
      </c>
      <c r="O85" s="6" t="s">
        <v>54</v>
      </c>
    </row>
    <row r="86" spans="1:15" x14ac:dyDescent="0.35">
      <c r="A86" s="5" t="s">
        <v>882</v>
      </c>
      <c r="B86" s="6" t="s">
        <v>692</v>
      </c>
      <c r="C86" s="6" t="s">
        <v>328</v>
      </c>
      <c r="D86" s="6" t="s">
        <v>48</v>
      </c>
      <c r="E86" s="6" t="s">
        <v>49</v>
      </c>
      <c r="F86" s="6" t="s">
        <v>50</v>
      </c>
      <c r="G86" s="6" t="s">
        <v>7</v>
      </c>
      <c r="H86" s="6" t="s">
        <v>52</v>
      </c>
      <c r="I86" s="6" t="s">
        <v>52</v>
      </c>
      <c r="J86" s="6"/>
      <c r="K86" s="6"/>
      <c r="L86" s="6"/>
      <c r="M86" s="5" t="s">
        <v>56</v>
      </c>
      <c r="N86" s="5" t="s">
        <v>56</v>
      </c>
      <c r="O86" s="6" t="s">
        <v>54</v>
      </c>
    </row>
    <row r="87" spans="1:15" x14ac:dyDescent="0.35">
      <c r="A87" s="5" t="s">
        <v>839</v>
      </c>
      <c r="B87" s="6" t="s">
        <v>674</v>
      </c>
      <c r="C87" s="6" t="s">
        <v>310</v>
      </c>
      <c r="D87" s="7" t="s">
        <v>48</v>
      </c>
      <c r="E87" s="7" t="s">
        <v>49</v>
      </c>
      <c r="F87" s="7" t="s">
        <v>55</v>
      </c>
      <c r="G87" s="7" t="s">
        <v>5</v>
      </c>
      <c r="H87" s="7" t="s">
        <v>52</v>
      </c>
      <c r="I87" s="7" t="s">
        <v>52</v>
      </c>
      <c r="J87" s="7"/>
      <c r="K87" s="7"/>
      <c r="L87" s="7"/>
      <c r="M87" s="5" t="s">
        <v>59</v>
      </c>
      <c r="N87" s="5" t="s">
        <v>59</v>
      </c>
      <c r="O87" s="7" t="s">
        <v>54</v>
      </c>
    </row>
    <row r="88" spans="1:15" x14ac:dyDescent="0.35">
      <c r="A88" s="5" t="s">
        <v>846</v>
      </c>
      <c r="B88" s="6" t="s">
        <v>491</v>
      </c>
      <c r="C88" s="6" t="s">
        <v>127</v>
      </c>
      <c r="D88" s="6" t="s">
        <v>48</v>
      </c>
      <c r="E88" s="6" t="s">
        <v>49</v>
      </c>
      <c r="F88" s="6" t="s">
        <v>50</v>
      </c>
      <c r="G88" s="6" t="s">
        <v>5</v>
      </c>
      <c r="H88" s="6" t="s">
        <v>51</v>
      </c>
      <c r="I88" s="6" t="s">
        <v>52</v>
      </c>
      <c r="J88" s="6"/>
      <c r="K88" s="6"/>
      <c r="L88" s="6"/>
      <c r="M88" s="5" t="s">
        <v>57</v>
      </c>
      <c r="N88" s="5" t="s">
        <v>57</v>
      </c>
      <c r="O88" s="6" t="s">
        <v>54</v>
      </c>
    </row>
    <row r="89" spans="1:15" x14ac:dyDescent="0.35">
      <c r="A89" s="5" t="s">
        <v>883</v>
      </c>
      <c r="B89" s="7" t="s">
        <v>610</v>
      </c>
      <c r="C89" s="7" t="s">
        <v>246</v>
      </c>
      <c r="D89" s="7" t="s">
        <v>48</v>
      </c>
      <c r="E89" s="7" t="s">
        <v>49</v>
      </c>
      <c r="F89" s="7" t="s">
        <v>50</v>
      </c>
      <c r="G89" s="7" t="s">
        <v>5</v>
      </c>
      <c r="H89" s="7" t="s">
        <v>52</v>
      </c>
      <c r="I89" s="7" t="s">
        <v>52</v>
      </c>
      <c r="J89" s="7" t="s">
        <v>51</v>
      </c>
      <c r="K89" s="7" t="s">
        <v>51</v>
      </c>
      <c r="L89" s="7"/>
      <c r="M89" s="5" t="s">
        <v>66</v>
      </c>
      <c r="N89" s="5" t="s">
        <v>66</v>
      </c>
      <c r="O89" s="7" t="s">
        <v>54</v>
      </c>
    </row>
    <row r="90" spans="1:15" x14ac:dyDescent="0.35">
      <c r="A90" s="5" t="s">
        <v>845</v>
      </c>
      <c r="B90" s="6" t="s">
        <v>483</v>
      </c>
      <c r="C90" s="6" t="s">
        <v>119</v>
      </c>
      <c r="D90" s="6" t="s">
        <v>48</v>
      </c>
      <c r="E90" s="6" t="s">
        <v>49</v>
      </c>
      <c r="F90" s="6" t="s">
        <v>55</v>
      </c>
      <c r="G90" s="6" t="s">
        <v>5</v>
      </c>
      <c r="H90" s="6" t="s">
        <v>52</v>
      </c>
      <c r="I90" s="6" t="s">
        <v>52</v>
      </c>
      <c r="J90" s="6"/>
      <c r="K90" s="6"/>
      <c r="L90" s="6"/>
      <c r="M90" s="5" t="s">
        <v>57</v>
      </c>
      <c r="N90" s="5" t="s">
        <v>57</v>
      </c>
      <c r="O90" s="6" t="s">
        <v>54</v>
      </c>
    </row>
    <row r="91" spans="1:15" x14ac:dyDescent="0.35">
      <c r="A91" s="5" t="s">
        <v>845</v>
      </c>
      <c r="B91" s="6" t="s">
        <v>722</v>
      </c>
      <c r="C91" s="6" t="s">
        <v>358</v>
      </c>
      <c r="D91" s="7" t="s">
        <v>48</v>
      </c>
      <c r="E91" s="7" t="s">
        <v>49</v>
      </c>
      <c r="F91" s="7" t="s">
        <v>55</v>
      </c>
      <c r="G91" s="7" t="s">
        <v>13</v>
      </c>
      <c r="H91" s="7" t="s">
        <v>52</v>
      </c>
      <c r="I91" s="7" t="s">
        <v>52</v>
      </c>
      <c r="J91" s="7"/>
      <c r="K91" s="7"/>
      <c r="L91" s="7"/>
      <c r="M91" s="5" t="s">
        <v>57</v>
      </c>
      <c r="N91" s="5" t="s">
        <v>57</v>
      </c>
      <c r="O91" s="7" t="s">
        <v>54</v>
      </c>
    </row>
    <row r="92" spans="1:15" x14ac:dyDescent="0.35">
      <c r="A92" s="5" t="s">
        <v>884</v>
      </c>
      <c r="B92" s="6" t="s">
        <v>570</v>
      </c>
      <c r="C92" s="6" t="s">
        <v>206</v>
      </c>
      <c r="D92" s="6" t="s">
        <v>48</v>
      </c>
      <c r="E92" s="6" t="s">
        <v>49</v>
      </c>
      <c r="F92" s="6" t="s">
        <v>50</v>
      </c>
      <c r="G92" s="6" t="s">
        <v>26</v>
      </c>
      <c r="H92" s="6" t="s">
        <v>52</v>
      </c>
      <c r="I92" s="6" t="s">
        <v>64</v>
      </c>
      <c r="J92" s="6" t="s">
        <v>51</v>
      </c>
      <c r="K92" s="6" t="s">
        <v>51</v>
      </c>
      <c r="L92" s="6"/>
      <c r="M92" s="5" t="s">
        <v>77</v>
      </c>
      <c r="N92" s="5" t="s">
        <v>77</v>
      </c>
      <c r="O92" s="6" t="s">
        <v>54</v>
      </c>
    </row>
    <row r="93" spans="1:15" x14ac:dyDescent="0.35">
      <c r="A93" s="5" t="s">
        <v>876</v>
      </c>
      <c r="B93" s="7" t="s">
        <v>805</v>
      </c>
      <c r="C93" s="7" t="s">
        <v>441</v>
      </c>
      <c r="D93" s="7" t="s">
        <v>48</v>
      </c>
      <c r="E93" s="7" t="s">
        <v>49</v>
      </c>
      <c r="F93" s="7" t="s">
        <v>55</v>
      </c>
      <c r="G93" s="7" t="s">
        <v>29</v>
      </c>
      <c r="H93" s="7" t="s">
        <v>52</v>
      </c>
      <c r="I93" s="7" t="s">
        <v>52</v>
      </c>
      <c r="J93" s="7"/>
      <c r="K93" s="7"/>
      <c r="L93" s="7"/>
      <c r="M93" s="5" t="s">
        <v>63</v>
      </c>
      <c r="N93" s="5" t="s">
        <v>63</v>
      </c>
      <c r="O93" s="7" t="s">
        <v>54</v>
      </c>
    </row>
    <row r="94" spans="1:15" x14ac:dyDescent="0.35">
      <c r="A94" s="5" t="s">
        <v>851</v>
      </c>
      <c r="B94" s="6" t="s">
        <v>740</v>
      </c>
      <c r="C94" s="6" t="s">
        <v>376</v>
      </c>
      <c r="D94" s="7" t="s">
        <v>48</v>
      </c>
      <c r="E94" s="7" t="s">
        <v>49</v>
      </c>
      <c r="F94" s="7" t="s">
        <v>55</v>
      </c>
      <c r="G94" s="7" t="s">
        <v>29</v>
      </c>
      <c r="H94" s="7" t="s">
        <v>51</v>
      </c>
      <c r="I94" s="7" t="s">
        <v>52</v>
      </c>
      <c r="J94" s="7"/>
      <c r="K94" s="7"/>
      <c r="L94" s="7"/>
      <c r="M94" s="5" t="s">
        <v>67</v>
      </c>
      <c r="N94" s="5" t="s">
        <v>67</v>
      </c>
      <c r="O94" s="7" t="s">
        <v>54</v>
      </c>
    </row>
    <row r="95" spans="1:15" x14ac:dyDescent="0.35">
      <c r="A95" s="5" t="s">
        <v>876</v>
      </c>
      <c r="B95" s="6" t="s">
        <v>633</v>
      </c>
      <c r="C95" s="6" t="s">
        <v>269</v>
      </c>
      <c r="D95" s="7" t="s">
        <v>48</v>
      </c>
      <c r="E95" s="7" t="s">
        <v>49</v>
      </c>
      <c r="F95" s="7" t="s">
        <v>55</v>
      </c>
      <c r="G95" s="7" t="s">
        <v>26</v>
      </c>
      <c r="H95" s="7" t="s">
        <v>52</v>
      </c>
      <c r="I95" s="7" t="s">
        <v>52</v>
      </c>
      <c r="J95" s="7"/>
      <c r="K95" s="7"/>
      <c r="L95" s="7"/>
      <c r="M95" s="5" t="s">
        <v>63</v>
      </c>
      <c r="N95" s="5" t="s">
        <v>63</v>
      </c>
      <c r="O95" s="7" t="s">
        <v>54</v>
      </c>
    </row>
    <row r="96" spans="1:15" x14ac:dyDescent="0.35">
      <c r="A96" s="5" t="s">
        <v>885</v>
      </c>
      <c r="B96" s="6" t="s">
        <v>827</v>
      </c>
      <c r="C96" s="6" t="s">
        <v>463</v>
      </c>
      <c r="D96" s="7" t="s">
        <v>48</v>
      </c>
      <c r="E96" s="7" t="s">
        <v>49</v>
      </c>
      <c r="F96" s="7" t="s">
        <v>50</v>
      </c>
      <c r="G96" s="7" t="s">
        <v>8</v>
      </c>
      <c r="H96" s="7" t="s">
        <v>52</v>
      </c>
      <c r="I96" s="7" t="s">
        <v>52</v>
      </c>
      <c r="J96" s="7" t="s">
        <v>51</v>
      </c>
      <c r="K96" s="7" t="s">
        <v>51</v>
      </c>
      <c r="L96" s="7"/>
      <c r="M96" s="5" t="s">
        <v>100</v>
      </c>
      <c r="N96" s="5" t="s">
        <v>100</v>
      </c>
      <c r="O96" s="7" t="s">
        <v>54</v>
      </c>
    </row>
    <row r="97" spans="1:15" x14ac:dyDescent="0.35">
      <c r="A97" s="5" t="s">
        <v>830</v>
      </c>
      <c r="B97" s="6" t="s">
        <v>726</v>
      </c>
      <c r="C97" s="6" t="s">
        <v>362</v>
      </c>
      <c r="D97" s="7" t="s">
        <v>48</v>
      </c>
      <c r="E97" s="7" t="s">
        <v>49</v>
      </c>
      <c r="F97" s="7" t="s">
        <v>55</v>
      </c>
      <c r="G97" s="7" t="s">
        <v>18</v>
      </c>
      <c r="H97" s="7" t="s">
        <v>51</v>
      </c>
      <c r="I97" s="7" t="s">
        <v>52</v>
      </c>
      <c r="J97" s="7" t="s">
        <v>51</v>
      </c>
      <c r="K97" s="7" t="s">
        <v>51</v>
      </c>
      <c r="L97" s="7"/>
      <c r="M97" s="5" t="s">
        <v>56</v>
      </c>
      <c r="N97" s="5" t="s">
        <v>56</v>
      </c>
      <c r="O97" s="7" t="s">
        <v>54</v>
      </c>
    </row>
    <row r="98" spans="1:15" x14ac:dyDescent="0.35">
      <c r="A98" s="5" t="s">
        <v>886</v>
      </c>
      <c r="B98" s="6" t="s">
        <v>744</v>
      </c>
      <c r="C98" s="6" t="s">
        <v>380</v>
      </c>
      <c r="D98" s="7" t="s">
        <v>48</v>
      </c>
      <c r="E98" s="7" t="s">
        <v>49</v>
      </c>
      <c r="F98" s="7" t="s">
        <v>50</v>
      </c>
      <c r="G98" s="7" t="s">
        <v>17</v>
      </c>
      <c r="H98" s="7" t="s">
        <v>52</v>
      </c>
      <c r="I98" s="7" t="s">
        <v>60</v>
      </c>
      <c r="J98" s="7"/>
      <c r="K98" s="7"/>
      <c r="L98" s="7"/>
      <c r="M98" s="5" t="s">
        <v>71</v>
      </c>
      <c r="N98" s="5" t="s">
        <v>71</v>
      </c>
      <c r="O98" s="7" t="s">
        <v>54</v>
      </c>
    </row>
    <row r="99" spans="1:15" x14ac:dyDescent="0.35">
      <c r="A99" s="5" t="s">
        <v>846</v>
      </c>
      <c r="B99" s="6" t="s">
        <v>569</v>
      </c>
      <c r="C99" s="6" t="s">
        <v>205</v>
      </c>
      <c r="D99" s="7" t="s">
        <v>48</v>
      </c>
      <c r="E99" s="7" t="s">
        <v>49</v>
      </c>
      <c r="F99" s="7" t="s">
        <v>50</v>
      </c>
      <c r="G99" s="7" t="s">
        <v>9</v>
      </c>
      <c r="H99" s="7" t="s">
        <v>52</v>
      </c>
      <c r="I99" s="7" t="s">
        <v>52</v>
      </c>
      <c r="J99" s="7"/>
      <c r="K99" s="7"/>
      <c r="L99" s="7"/>
      <c r="M99" s="5" t="s">
        <v>57</v>
      </c>
      <c r="N99" s="5" t="s">
        <v>57</v>
      </c>
      <c r="O99" s="7" t="s">
        <v>54</v>
      </c>
    </row>
    <row r="100" spans="1:15" x14ac:dyDescent="0.35">
      <c r="A100" s="5" t="s">
        <v>887</v>
      </c>
      <c r="B100" s="6" t="s">
        <v>510</v>
      </c>
      <c r="C100" s="6" t="s">
        <v>146</v>
      </c>
      <c r="D100" s="7" t="s">
        <v>48</v>
      </c>
      <c r="E100" s="7" t="s">
        <v>49</v>
      </c>
      <c r="F100" s="7" t="s">
        <v>55</v>
      </c>
      <c r="G100" s="7" t="s">
        <v>5</v>
      </c>
      <c r="H100" s="7" t="s">
        <v>52</v>
      </c>
      <c r="I100" s="7" t="s">
        <v>52</v>
      </c>
      <c r="J100" s="7"/>
      <c r="K100" s="7"/>
      <c r="L100" s="7"/>
      <c r="M100" s="5" t="s">
        <v>69</v>
      </c>
      <c r="N100" s="5" t="s">
        <v>69</v>
      </c>
      <c r="O100" s="7" t="s">
        <v>54</v>
      </c>
    </row>
    <row r="101" spans="1:15" x14ac:dyDescent="0.35">
      <c r="A101" s="5" t="s">
        <v>888</v>
      </c>
      <c r="B101" s="6" t="s">
        <v>465</v>
      </c>
      <c r="C101" s="6" t="s">
        <v>101</v>
      </c>
      <c r="D101" s="6" t="s">
        <v>48</v>
      </c>
      <c r="E101" s="6" t="s">
        <v>49</v>
      </c>
      <c r="F101" s="6" t="s">
        <v>50</v>
      </c>
      <c r="G101" s="6" t="s">
        <v>9</v>
      </c>
      <c r="H101" s="6" t="s">
        <v>51</v>
      </c>
      <c r="I101" s="6" t="s">
        <v>52</v>
      </c>
      <c r="J101" s="6" t="s">
        <v>51</v>
      </c>
      <c r="K101" s="6" t="s">
        <v>51</v>
      </c>
      <c r="L101" s="6"/>
      <c r="M101" s="5" t="s">
        <v>53</v>
      </c>
      <c r="N101" s="5" t="s">
        <v>53</v>
      </c>
      <c r="O101" s="6" t="s">
        <v>54</v>
      </c>
    </row>
    <row r="102" spans="1:15" x14ac:dyDescent="0.35">
      <c r="A102" s="5" t="s">
        <v>850</v>
      </c>
      <c r="B102" s="6" t="s">
        <v>563</v>
      </c>
      <c r="C102" s="6" t="s">
        <v>199</v>
      </c>
      <c r="D102" s="7" t="s">
        <v>48</v>
      </c>
      <c r="E102" s="7" t="s">
        <v>49</v>
      </c>
      <c r="F102" s="7" t="s">
        <v>50</v>
      </c>
      <c r="G102" s="7" t="s">
        <v>19</v>
      </c>
      <c r="H102" s="7" t="s">
        <v>52</v>
      </c>
      <c r="I102" s="7" t="s">
        <v>52</v>
      </c>
      <c r="J102" s="7"/>
      <c r="K102" s="7"/>
      <c r="L102" s="7"/>
      <c r="M102" s="5" t="s">
        <v>57</v>
      </c>
      <c r="N102" s="5" t="s">
        <v>57</v>
      </c>
      <c r="O102" s="7" t="s">
        <v>54</v>
      </c>
    </row>
    <row r="103" spans="1:15" x14ac:dyDescent="0.35">
      <c r="A103" s="5" t="s">
        <v>889</v>
      </c>
      <c r="B103" s="6" t="s">
        <v>611</v>
      </c>
      <c r="C103" s="6" t="s">
        <v>247</v>
      </c>
      <c r="D103" s="6" t="s">
        <v>48</v>
      </c>
      <c r="E103" s="6" t="s">
        <v>49</v>
      </c>
      <c r="F103" s="6" t="s">
        <v>55</v>
      </c>
      <c r="G103" s="6" t="s">
        <v>5</v>
      </c>
      <c r="H103" s="6" t="s">
        <v>52</v>
      </c>
      <c r="I103" s="6" t="s">
        <v>52</v>
      </c>
      <c r="J103" s="6"/>
      <c r="K103" s="6"/>
      <c r="L103" s="6"/>
      <c r="M103" s="5" t="s">
        <v>59</v>
      </c>
      <c r="N103" s="5" t="s">
        <v>59</v>
      </c>
      <c r="O103" s="6" t="s">
        <v>54</v>
      </c>
    </row>
    <row r="104" spans="1:15" x14ac:dyDescent="0.35">
      <c r="A104" s="5" t="s">
        <v>883</v>
      </c>
      <c r="B104" s="6" t="s">
        <v>534</v>
      </c>
      <c r="C104" s="6" t="s">
        <v>170</v>
      </c>
      <c r="D104" s="6" t="s">
        <v>48</v>
      </c>
      <c r="E104" s="6" t="s">
        <v>49</v>
      </c>
      <c r="F104" s="6" t="s">
        <v>50</v>
      </c>
      <c r="G104" s="6" t="s">
        <v>32</v>
      </c>
      <c r="H104" s="6" t="s">
        <v>51</v>
      </c>
      <c r="I104" s="6" t="s">
        <v>52</v>
      </c>
      <c r="J104" s="6"/>
      <c r="K104" s="6"/>
      <c r="L104" s="6"/>
      <c r="M104" s="5" t="s">
        <v>66</v>
      </c>
      <c r="N104" s="5" t="s">
        <v>66</v>
      </c>
      <c r="O104" s="6" t="s">
        <v>54</v>
      </c>
    </row>
    <row r="105" spans="1:15" x14ac:dyDescent="0.35">
      <c r="A105" s="5" t="s">
        <v>890</v>
      </c>
      <c r="B105" s="6" t="s">
        <v>624</v>
      </c>
      <c r="C105" s="6" t="s">
        <v>260</v>
      </c>
      <c r="D105" s="7" t="s">
        <v>48</v>
      </c>
      <c r="E105" s="7" t="s">
        <v>49</v>
      </c>
      <c r="F105" s="7" t="s">
        <v>50</v>
      </c>
      <c r="G105" s="7" t="s">
        <v>5</v>
      </c>
      <c r="H105" s="7" t="s">
        <v>51</v>
      </c>
      <c r="I105" s="7" t="s">
        <v>52</v>
      </c>
      <c r="J105" s="7"/>
      <c r="K105" s="7" t="s">
        <v>51</v>
      </c>
      <c r="L105" s="7"/>
      <c r="M105" s="5" t="s">
        <v>86</v>
      </c>
      <c r="N105" s="5" t="s">
        <v>86</v>
      </c>
      <c r="O105" s="6"/>
    </row>
    <row r="106" spans="1:15" x14ac:dyDescent="0.35">
      <c r="A106" s="5" t="s">
        <v>831</v>
      </c>
      <c r="B106" s="6" t="s">
        <v>783</v>
      </c>
      <c r="C106" s="6" t="s">
        <v>419</v>
      </c>
      <c r="D106" s="6" t="s">
        <v>48</v>
      </c>
      <c r="E106" s="6" t="s">
        <v>49</v>
      </c>
      <c r="F106" s="6" t="s">
        <v>55</v>
      </c>
      <c r="G106" s="6" t="s">
        <v>9</v>
      </c>
      <c r="H106" s="6" t="s">
        <v>52</v>
      </c>
      <c r="I106" s="6" t="s">
        <v>52</v>
      </c>
      <c r="J106" s="6"/>
      <c r="K106" s="6"/>
      <c r="L106" s="6"/>
      <c r="M106" s="5" t="s">
        <v>59</v>
      </c>
      <c r="N106" s="5" t="s">
        <v>59</v>
      </c>
      <c r="O106" s="6" t="s">
        <v>54</v>
      </c>
    </row>
    <row r="107" spans="1:15" x14ac:dyDescent="0.35">
      <c r="A107" s="5" t="s">
        <v>842</v>
      </c>
      <c r="B107" s="6" t="s">
        <v>576</v>
      </c>
      <c r="C107" s="6" t="s">
        <v>212</v>
      </c>
      <c r="D107" s="6" t="s">
        <v>48</v>
      </c>
      <c r="E107" s="6" t="s">
        <v>49</v>
      </c>
      <c r="F107" s="6" t="s">
        <v>55</v>
      </c>
      <c r="G107" s="6" t="s">
        <v>5</v>
      </c>
      <c r="H107" s="6" t="s">
        <v>52</v>
      </c>
      <c r="I107" s="6" t="s">
        <v>52</v>
      </c>
      <c r="J107" s="6"/>
      <c r="K107" s="6"/>
      <c r="L107" s="6"/>
      <c r="M107" s="5" t="s">
        <v>57</v>
      </c>
      <c r="N107" s="5" t="s">
        <v>57</v>
      </c>
      <c r="O107" s="6" t="s">
        <v>54</v>
      </c>
    </row>
    <row r="108" spans="1:15" x14ac:dyDescent="0.35">
      <c r="A108" s="5" t="s">
        <v>880</v>
      </c>
      <c r="B108" s="7" t="s">
        <v>493</v>
      </c>
      <c r="C108" s="7" t="s">
        <v>129</v>
      </c>
      <c r="D108" s="6" t="s">
        <v>48</v>
      </c>
      <c r="E108" s="6" t="s">
        <v>49</v>
      </c>
      <c r="F108" s="6" t="s">
        <v>50</v>
      </c>
      <c r="G108" s="6" t="s">
        <v>25</v>
      </c>
      <c r="H108" s="6" t="s">
        <v>52</v>
      </c>
      <c r="I108" s="6" t="s">
        <v>52</v>
      </c>
      <c r="J108" s="6"/>
      <c r="K108" s="6"/>
      <c r="L108" s="6"/>
      <c r="M108" s="5" t="s">
        <v>59</v>
      </c>
      <c r="N108" s="5" t="s">
        <v>59</v>
      </c>
      <c r="O108" s="6" t="s">
        <v>54</v>
      </c>
    </row>
    <row r="109" spans="1:15" x14ac:dyDescent="0.35">
      <c r="A109" s="5" t="s">
        <v>891</v>
      </c>
      <c r="B109" s="6" t="s">
        <v>785</v>
      </c>
      <c r="C109" s="6" t="s">
        <v>421</v>
      </c>
      <c r="D109" s="6" t="s">
        <v>48</v>
      </c>
      <c r="E109" s="6" t="s">
        <v>49</v>
      </c>
      <c r="F109" s="6" t="s">
        <v>55</v>
      </c>
      <c r="G109" s="6" t="s">
        <v>13</v>
      </c>
      <c r="H109" s="6" t="s">
        <v>52</v>
      </c>
      <c r="I109" s="6" t="s">
        <v>52</v>
      </c>
      <c r="J109" s="6"/>
      <c r="K109" s="6"/>
      <c r="L109" s="6"/>
      <c r="M109" s="5" t="s">
        <v>63</v>
      </c>
      <c r="N109" s="5" t="s">
        <v>63</v>
      </c>
      <c r="O109" s="6" t="s">
        <v>54</v>
      </c>
    </row>
    <row r="110" spans="1:15" x14ac:dyDescent="0.35">
      <c r="A110" s="5" t="s">
        <v>841</v>
      </c>
      <c r="B110" s="6" t="s">
        <v>728</v>
      </c>
      <c r="C110" s="6" t="s">
        <v>364</v>
      </c>
      <c r="D110" s="7" t="s">
        <v>48</v>
      </c>
      <c r="E110" s="7" t="s">
        <v>49</v>
      </c>
      <c r="F110" s="7" t="s">
        <v>50</v>
      </c>
      <c r="G110" s="7" t="s">
        <v>15</v>
      </c>
      <c r="H110" s="7" t="s">
        <v>52</v>
      </c>
      <c r="I110" s="7" t="s">
        <v>52</v>
      </c>
      <c r="J110" s="7"/>
      <c r="K110" s="7"/>
      <c r="L110" s="7"/>
      <c r="M110" s="5" t="s">
        <v>57</v>
      </c>
      <c r="N110" s="5" t="s">
        <v>57</v>
      </c>
      <c r="O110" s="7" t="s">
        <v>54</v>
      </c>
    </row>
    <row r="111" spans="1:15" x14ac:dyDescent="0.35">
      <c r="A111" s="5" t="s">
        <v>892</v>
      </c>
      <c r="B111" s="6" t="s">
        <v>512</v>
      </c>
      <c r="C111" s="6" t="s">
        <v>148</v>
      </c>
      <c r="D111" s="7" t="s">
        <v>48</v>
      </c>
      <c r="E111" s="7" t="s">
        <v>49</v>
      </c>
      <c r="F111" s="7" t="s">
        <v>55</v>
      </c>
      <c r="G111" s="7" t="s">
        <v>5</v>
      </c>
      <c r="H111" s="7" t="s">
        <v>51</v>
      </c>
      <c r="I111" s="7" t="s">
        <v>52</v>
      </c>
      <c r="J111" s="7" t="s">
        <v>51</v>
      </c>
      <c r="K111" s="7" t="s">
        <v>51</v>
      </c>
      <c r="L111" s="7"/>
      <c r="M111" s="5" t="s">
        <v>56</v>
      </c>
      <c r="N111" s="5" t="s">
        <v>56</v>
      </c>
      <c r="O111" s="7" t="s">
        <v>54</v>
      </c>
    </row>
    <row r="112" spans="1:15" x14ac:dyDescent="0.35">
      <c r="A112" s="5" t="s">
        <v>849</v>
      </c>
      <c r="B112" s="7" t="s">
        <v>757</v>
      </c>
      <c r="C112" s="7" t="s">
        <v>393</v>
      </c>
      <c r="D112" s="6" t="s">
        <v>48</v>
      </c>
      <c r="E112" s="6" t="s">
        <v>49</v>
      </c>
      <c r="F112" s="6" t="s">
        <v>55</v>
      </c>
      <c r="G112" s="6" t="s">
        <v>9</v>
      </c>
      <c r="H112" s="6" t="s">
        <v>52</v>
      </c>
      <c r="I112" s="6" t="s">
        <v>60</v>
      </c>
      <c r="J112" s="6" t="s">
        <v>51</v>
      </c>
      <c r="K112" s="6"/>
      <c r="L112" s="6"/>
      <c r="M112" s="5" t="s">
        <v>59</v>
      </c>
      <c r="N112" s="5" t="s">
        <v>59</v>
      </c>
      <c r="O112" s="6" t="s">
        <v>54</v>
      </c>
    </row>
    <row r="113" spans="1:15" x14ac:dyDescent="0.35">
      <c r="A113" s="5" t="s">
        <v>893</v>
      </c>
      <c r="B113" s="6" t="s">
        <v>806</v>
      </c>
      <c r="C113" s="6" t="s">
        <v>442</v>
      </c>
      <c r="D113" s="6" t="s">
        <v>48</v>
      </c>
      <c r="E113" s="6" t="s">
        <v>49</v>
      </c>
      <c r="F113" s="6" t="s">
        <v>55</v>
      </c>
      <c r="G113" s="6" t="s">
        <v>7</v>
      </c>
      <c r="H113" s="6" t="s">
        <v>52</v>
      </c>
      <c r="I113" s="6" t="s">
        <v>52</v>
      </c>
      <c r="J113" s="6"/>
      <c r="K113" s="6"/>
      <c r="L113" s="6"/>
      <c r="M113" s="5" t="s">
        <v>67</v>
      </c>
      <c r="N113" s="5" t="s">
        <v>67</v>
      </c>
      <c r="O113" s="6" t="s">
        <v>54</v>
      </c>
    </row>
    <row r="114" spans="1:15" x14ac:dyDescent="0.35">
      <c r="A114" s="5" t="s">
        <v>894</v>
      </c>
      <c r="B114" s="6" t="s">
        <v>582</v>
      </c>
      <c r="C114" s="6" t="s">
        <v>218</v>
      </c>
      <c r="D114" s="6" t="s">
        <v>48</v>
      </c>
      <c r="E114" s="6" t="s">
        <v>49</v>
      </c>
      <c r="F114" s="6" t="s">
        <v>55</v>
      </c>
      <c r="G114" s="6" t="s">
        <v>26</v>
      </c>
      <c r="H114" s="6" t="s">
        <v>51</v>
      </c>
      <c r="I114" s="6" t="s">
        <v>52</v>
      </c>
      <c r="J114" s="6" t="s">
        <v>51</v>
      </c>
      <c r="K114" s="6" t="s">
        <v>51</v>
      </c>
      <c r="L114" s="6"/>
      <c r="M114" s="5" t="s">
        <v>79</v>
      </c>
      <c r="N114" s="5" t="s">
        <v>79</v>
      </c>
      <c r="O114" s="6" t="s">
        <v>54</v>
      </c>
    </row>
    <row r="115" spans="1:15" x14ac:dyDescent="0.35">
      <c r="A115" s="5" t="s">
        <v>842</v>
      </c>
      <c r="B115" s="7" t="s">
        <v>526</v>
      </c>
      <c r="C115" s="7" t="s">
        <v>162</v>
      </c>
      <c r="D115" s="6" t="s">
        <v>48</v>
      </c>
      <c r="E115" s="6" t="s">
        <v>49</v>
      </c>
      <c r="F115" s="6" t="s">
        <v>55</v>
      </c>
      <c r="G115" s="6" t="s">
        <v>9</v>
      </c>
      <c r="H115" s="6" t="s">
        <v>52</v>
      </c>
      <c r="I115" s="6" t="s">
        <v>52</v>
      </c>
      <c r="J115" s="6"/>
      <c r="K115" s="6"/>
      <c r="L115" s="6"/>
      <c r="M115" s="5" t="s">
        <v>57</v>
      </c>
      <c r="N115" s="5" t="s">
        <v>57</v>
      </c>
      <c r="O115" s="6" t="s">
        <v>54</v>
      </c>
    </row>
    <row r="116" spans="1:15" x14ac:dyDescent="0.35">
      <c r="A116" s="5" t="s">
        <v>876</v>
      </c>
      <c r="B116" s="7" t="s">
        <v>589</v>
      </c>
      <c r="C116" s="7" t="s">
        <v>225</v>
      </c>
      <c r="D116" s="6" t="s">
        <v>48</v>
      </c>
      <c r="E116" s="6" t="s">
        <v>49</v>
      </c>
      <c r="F116" s="6" t="s">
        <v>55</v>
      </c>
      <c r="G116" s="6" t="s">
        <v>9</v>
      </c>
      <c r="H116" s="6" t="s">
        <v>52</v>
      </c>
      <c r="I116" s="6" t="s">
        <v>81</v>
      </c>
      <c r="J116" s="6"/>
      <c r="K116" s="6"/>
      <c r="L116" s="6"/>
      <c r="M116" s="5" t="s">
        <v>63</v>
      </c>
      <c r="N116" s="5" t="s">
        <v>63</v>
      </c>
      <c r="O116" s="6" t="s">
        <v>54</v>
      </c>
    </row>
    <row r="117" spans="1:15" x14ac:dyDescent="0.35">
      <c r="A117" s="5" t="s">
        <v>856</v>
      </c>
      <c r="B117" s="6" t="s">
        <v>479</v>
      </c>
      <c r="C117" s="6" t="s">
        <v>115</v>
      </c>
      <c r="D117" s="6" t="s">
        <v>48</v>
      </c>
      <c r="E117" s="6" t="s">
        <v>49</v>
      </c>
      <c r="F117" s="6" t="s">
        <v>50</v>
      </c>
      <c r="G117" s="6" t="s">
        <v>9</v>
      </c>
      <c r="H117" s="6" t="s">
        <v>52</v>
      </c>
      <c r="I117" s="6" t="s">
        <v>52</v>
      </c>
      <c r="J117" s="6"/>
      <c r="K117" s="6"/>
      <c r="L117" s="6"/>
      <c r="M117" s="5" t="s">
        <v>61</v>
      </c>
      <c r="N117" s="5" t="s">
        <v>61</v>
      </c>
      <c r="O117" s="6" t="s">
        <v>54</v>
      </c>
    </row>
    <row r="118" spans="1:15" x14ac:dyDescent="0.35">
      <c r="A118" s="5" t="s">
        <v>875</v>
      </c>
      <c r="B118" s="6" t="s">
        <v>716</v>
      </c>
      <c r="C118" s="6" t="s">
        <v>352</v>
      </c>
      <c r="D118" s="7" t="s">
        <v>48</v>
      </c>
      <c r="E118" s="7" t="s">
        <v>49</v>
      </c>
      <c r="F118" s="7" t="s">
        <v>50</v>
      </c>
      <c r="G118" s="7" t="s">
        <v>26</v>
      </c>
      <c r="H118" s="7" t="s">
        <v>52</v>
      </c>
      <c r="I118" s="7" t="s">
        <v>60</v>
      </c>
      <c r="J118" s="7"/>
      <c r="K118" s="7"/>
      <c r="L118" s="7"/>
      <c r="M118" s="5" t="s">
        <v>67</v>
      </c>
      <c r="N118" s="5" t="s">
        <v>67</v>
      </c>
      <c r="O118" s="7" t="s">
        <v>54</v>
      </c>
    </row>
    <row r="119" spans="1:15" x14ac:dyDescent="0.35">
      <c r="A119" s="5" t="s">
        <v>860</v>
      </c>
      <c r="B119" s="6" t="s">
        <v>774</v>
      </c>
      <c r="C119" s="6" t="s">
        <v>410</v>
      </c>
      <c r="D119" s="7" t="s">
        <v>48</v>
      </c>
      <c r="E119" s="7" t="s">
        <v>49</v>
      </c>
      <c r="F119" s="7" t="s">
        <v>55</v>
      </c>
      <c r="G119" s="7" t="s">
        <v>9</v>
      </c>
      <c r="H119" s="7" t="s">
        <v>52</v>
      </c>
      <c r="I119" s="7" t="s">
        <v>52</v>
      </c>
      <c r="J119" s="7" t="s">
        <v>51</v>
      </c>
      <c r="K119" s="7" t="s">
        <v>51</v>
      </c>
      <c r="L119" s="7" t="s">
        <v>91</v>
      </c>
      <c r="M119" s="5" t="s">
        <v>63</v>
      </c>
      <c r="N119" s="5" t="s">
        <v>63</v>
      </c>
      <c r="O119" s="7" t="s">
        <v>54</v>
      </c>
    </row>
    <row r="120" spans="1:15" x14ac:dyDescent="0.35">
      <c r="A120" s="5" t="s">
        <v>877</v>
      </c>
      <c r="B120" s="6" t="s">
        <v>615</v>
      </c>
      <c r="C120" s="6" t="s">
        <v>251</v>
      </c>
      <c r="D120" s="6" t="s">
        <v>48</v>
      </c>
      <c r="E120" s="6" t="s">
        <v>49</v>
      </c>
      <c r="F120" s="6" t="s">
        <v>50</v>
      </c>
      <c r="G120" s="6" t="s">
        <v>0</v>
      </c>
      <c r="H120" s="6" t="s">
        <v>52</v>
      </c>
      <c r="I120" s="6" t="s">
        <v>52</v>
      </c>
      <c r="J120" s="6"/>
      <c r="K120" s="6"/>
      <c r="L120" s="6"/>
      <c r="M120" s="5" t="s">
        <v>63</v>
      </c>
      <c r="N120" s="5" t="s">
        <v>63</v>
      </c>
      <c r="O120" s="6" t="s">
        <v>54</v>
      </c>
    </row>
    <row r="121" spans="1:15" x14ac:dyDescent="0.35">
      <c r="A121" s="5" t="s">
        <v>861</v>
      </c>
      <c r="B121" s="6" t="s">
        <v>771</v>
      </c>
      <c r="C121" s="6" t="s">
        <v>407</v>
      </c>
      <c r="D121" s="6" t="s">
        <v>48</v>
      </c>
      <c r="E121" s="6" t="s">
        <v>49</v>
      </c>
      <c r="F121" s="6" t="s">
        <v>50</v>
      </c>
      <c r="G121" s="6" t="s">
        <v>18</v>
      </c>
      <c r="H121" s="6" t="s">
        <v>52</v>
      </c>
      <c r="I121" s="6" t="s">
        <v>52</v>
      </c>
      <c r="J121" s="6"/>
      <c r="K121" s="6"/>
      <c r="L121" s="6"/>
      <c r="M121" s="5" t="s">
        <v>59</v>
      </c>
      <c r="N121" s="5" t="s">
        <v>59</v>
      </c>
      <c r="O121" s="6" t="s">
        <v>54</v>
      </c>
    </row>
    <row r="122" spans="1:15" x14ac:dyDescent="0.35">
      <c r="A122" s="5" t="s">
        <v>887</v>
      </c>
      <c r="B122" s="7" t="s">
        <v>739</v>
      </c>
      <c r="C122" s="7" t="s">
        <v>375</v>
      </c>
      <c r="D122" s="6" t="s">
        <v>48</v>
      </c>
      <c r="E122" s="6" t="s">
        <v>49</v>
      </c>
      <c r="F122" s="6" t="s">
        <v>55</v>
      </c>
      <c r="G122" s="6" t="s">
        <v>9</v>
      </c>
      <c r="H122" s="6" t="s">
        <v>52</v>
      </c>
      <c r="I122" s="6" t="s">
        <v>52</v>
      </c>
      <c r="J122" s="6"/>
      <c r="K122" s="6"/>
      <c r="L122" s="6"/>
      <c r="M122" s="5" t="s">
        <v>69</v>
      </c>
      <c r="N122" s="5" t="s">
        <v>69</v>
      </c>
      <c r="O122" s="6" t="s">
        <v>54</v>
      </c>
    </row>
    <row r="123" spans="1:15" x14ac:dyDescent="0.35">
      <c r="A123" s="5" t="s">
        <v>892</v>
      </c>
      <c r="B123" s="6" t="s">
        <v>579</v>
      </c>
      <c r="C123" s="6" t="s">
        <v>215</v>
      </c>
      <c r="D123" s="7" t="s">
        <v>48</v>
      </c>
      <c r="E123" s="7" t="s">
        <v>49</v>
      </c>
      <c r="F123" s="7" t="s">
        <v>55</v>
      </c>
      <c r="G123" s="7" t="s">
        <v>26</v>
      </c>
      <c r="H123" s="7" t="s">
        <v>52</v>
      </c>
      <c r="I123" s="7" t="s">
        <v>52</v>
      </c>
      <c r="J123" s="7"/>
      <c r="K123" s="7"/>
      <c r="L123" s="7"/>
      <c r="M123" s="5" t="s">
        <v>56</v>
      </c>
      <c r="N123" s="5" t="s">
        <v>56</v>
      </c>
      <c r="O123" s="7" t="s">
        <v>54</v>
      </c>
    </row>
    <row r="124" spans="1:15" x14ac:dyDescent="0.35">
      <c r="A124" s="5" t="s">
        <v>895</v>
      </c>
      <c r="B124" s="6" t="s">
        <v>803</v>
      </c>
      <c r="C124" s="6" t="s">
        <v>439</v>
      </c>
      <c r="D124" s="7" t="s">
        <v>48</v>
      </c>
      <c r="E124" s="7" t="s">
        <v>49</v>
      </c>
      <c r="F124" s="7" t="s">
        <v>55</v>
      </c>
      <c r="G124" s="7" t="s">
        <v>17</v>
      </c>
      <c r="H124" s="7" t="s">
        <v>52</v>
      </c>
      <c r="I124" s="7" t="s">
        <v>52</v>
      </c>
      <c r="J124" s="7"/>
      <c r="K124" s="7"/>
      <c r="L124" s="7"/>
      <c r="M124" s="5" t="s">
        <v>82</v>
      </c>
      <c r="N124" s="5" t="s">
        <v>82</v>
      </c>
      <c r="O124" s="7" t="s">
        <v>54</v>
      </c>
    </row>
    <row r="125" spans="1:15" x14ac:dyDescent="0.35">
      <c r="A125" s="5" t="s">
        <v>896</v>
      </c>
      <c r="B125" s="7" t="s">
        <v>556</v>
      </c>
      <c r="C125" s="7" t="s">
        <v>192</v>
      </c>
      <c r="D125" s="6" t="s">
        <v>48</v>
      </c>
      <c r="E125" s="6" t="s">
        <v>49</v>
      </c>
      <c r="F125" s="6" t="s">
        <v>55</v>
      </c>
      <c r="G125" s="6" t="s">
        <v>9</v>
      </c>
      <c r="H125" s="6" t="s">
        <v>52</v>
      </c>
      <c r="I125" s="6" t="s">
        <v>52</v>
      </c>
      <c r="J125" s="6"/>
      <c r="K125" s="6"/>
      <c r="L125" s="6"/>
      <c r="M125" s="5" t="s">
        <v>69</v>
      </c>
      <c r="N125" s="5" t="s">
        <v>69</v>
      </c>
      <c r="O125" s="6" t="s">
        <v>54</v>
      </c>
    </row>
    <row r="126" spans="1:15" x14ac:dyDescent="0.35">
      <c r="A126" s="5" t="s">
        <v>897</v>
      </c>
      <c r="B126" s="6" t="s">
        <v>564</v>
      </c>
      <c r="C126" s="6" t="s">
        <v>200</v>
      </c>
      <c r="D126" s="6" t="s">
        <v>48</v>
      </c>
      <c r="E126" s="6" t="s">
        <v>49</v>
      </c>
      <c r="F126" s="6" t="s">
        <v>55</v>
      </c>
      <c r="G126" s="6" t="s">
        <v>13</v>
      </c>
      <c r="H126" s="6" t="s">
        <v>51</v>
      </c>
      <c r="I126" s="6" t="s">
        <v>52</v>
      </c>
      <c r="J126" s="6" t="s">
        <v>51</v>
      </c>
      <c r="K126" s="6"/>
      <c r="L126" s="6"/>
      <c r="M126" s="5" t="s">
        <v>69</v>
      </c>
      <c r="N126" s="5" t="s">
        <v>69</v>
      </c>
      <c r="O126" s="6" t="s">
        <v>54</v>
      </c>
    </row>
    <row r="127" spans="1:15" x14ac:dyDescent="0.35">
      <c r="A127" s="5" t="s">
        <v>898</v>
      </c>
      <c r="B127" s="6" t="s">
        <v>795</v>
      </c>
      <c r="C127" s="6" t="s">
        <v>431</v>
      </c>
      <c r="D127" s="7" t="s">
        <v>48</v>
      </c>
      <c r="E127" s="7" t="s">
        <v>49</v>
      </c>
      <c r="F127" s="7" t="s">
        <v>55</v>
      </c>
      <c r="G127" s="7" t="s">
        <v>8</v>
      </c>
      <c r="H127" s="7" t="s">
        <v>51</v>
      </c>
      <c r="I127" s="7" t="s">
        <v>52</v>
      </c>
      <c r="J127" s="7"/>
      <c r="K127" s="7"/>
      <c r="L127" s="7"/>
      <c r="M127" s="5" t="s">
        <v>61</v>
      </c>
      <c r="N127" s="5" t="s">
        <v>61</v>
      </c>
      <c r="O127" s="7" t="s">
        <v>54</v>
      </c>
    </row>
    <row r="128" spans="1:15" x14ac:dyDescent="0.35">
      <c r="A128" s="5" t="s">
        <v>876</v>
      </c>
      <c r="B128" s="6" t="s">
        <v>797</v>
      </c>
      <c r="C128" s="6" t="s">
        <v>433</v>
      </c>
      <c r="D128" s="7" t="s">
        <v>48</v>
      </c>
      <c r="E128" s="7" t="s">
        <v>49</v>
      </c>
      <c r="F128" s="7" t="s">
        <v>55</v>
      </c>
      <c r="G128" s="7" t="s">
        <v>26</v>
      </c>
      <c r="H128" s="7" t="s">
        <v>52</v>
      </c>
      <c r="I128" s="7" t="s">
        <v>52</v>
      </c>
      <c r="J128" s="7" t="s">
        <v>51</v>
      </c>
      <c r="K128" s="7"/>
      <c r="L128" s="7" t="s">
        <v>68</v>
      </c>
      <c r="M128" s="5" t="s">
        <v>63</v>
      </c>
      <c r="N128" s="5" t="s">
        <v>63</v>
      </c>
      <c r="O128" s="7" t="s">
        <v>54</v>
      </c>
    </row>
    <row r="129" spans="1:15" x14ac:dyDescent="0.35">
      <c r="A129" s="5" t="s">
        <v>831</v>
      </c>
      <c r="B129" s="6" t="s">
        <v>756</v>
      </c>
      <c r="C129" s="6" t="s">
        <v>392</v>
      </c>
      <c r="D129" s="7" t="s">
        <v>48</v>
      </c>
      <c r="E129" s="7" t="s">
        <v>49</v>
      </c>
      <c r="F129" s="7" t="s">
        <v>55</v>
      </c>
      <c r="G129" s="7" t="s">
        <v>28</v>
      </c>
      <c r="H129" s="7" t="s">
        <v>51</v>
      </c>
      <c r="I129" s="7" t="s">
        <v>52</v>
      </c>
      <c r="J129" s="7" t="s">
        <v>51</v>
      </c>
      <c r="K129" s="7" t="s">
        <v>51</v>
      </c>
      <c r="L129" s="7"/>
      <c r="M129" s="5" t="s">
        <v>59</v>
      </c>
      <c r="N129" s="5" t="s">
        <v>59</v>
      </c>
      <c r="O129" s="7" t="s">
        <v>54</v>
      </c>
    </row>
    <row r="130" spans="1:15" x14ac:dyDescent="0.35">
      <c r="A130" s="5" t="s">
        <v>846</v>
      </c>
      <c r="B130" s="6" t="s">
        <v>663</v>
      </c>
      <c r="C130" s="6" t="s">
        <v>299</v>
      </c>
      <c r="D130" s="6" t="s">
        <v>48</v>
      </c>
      <c r="E130" s="6" t="s">
        <v>49</v>
      </c>
      <c r="F130" s="6" t="s">
        <v>50</v>
      </c>
      <c r="G130" s="6" t="s">
        <v>7</v>
      </c>
      <c r="H130" s="6" t="s">
        <v>52</v>
      </c>
      <c r="I130" s="6" t="s">
        <v>52</v>
      </c>
      <c r="J130" s="6"/>
      <c r="K130" s="6"/>
      <c r="L130" s="6"/>
      <c r="M130" s="5" t="s">
        <v>57</v>
      </c>
      <c r="N130" s="5" t="s">
        <v>57</v>
      </c>
      <c r="O130" s="6" t="s">
        <v>54</v>
      </c>
    </row>
    <row r="131" spans="1:15" x14ac:dyDescent="0.35">
      <c r="A131" s="5" t="s">
        <v>861</v>
      </c>
      <c r="B131" s="6" t="s">
        <v>489</v>
      </c>
      <c r="C131" s="6" t="s">
        <v>125</v>
      </c>
      <c r="D131" s="6" t="s">
        <v>48</v>
      </c>
      <c r="E131" s="6" t="s">
        <v>49</v>
      </c>
      <c r="F131" s="6" t="s">
        <v>50</v>
      </c>
      <c r="G131" s="6" t="s">
        <v>2</v>
      </c>
      <c r="H131" s="6" t="s">
        <v>52</v>
      </c>
      <c r="I131" s="6" t="s">
        <v>52</v>
      </c>
      <c r="J131" s="6"/>
      <c r="K131" s="6"/>
      <c r="L131" s="6"/>
      <c r="M131" s="5" t="s">
        <v>59</v>
      </c>
      <c r="N131" s="5" t="s">
        <v>59</v>
      </c>
      <c r="O131" s="6" t="s">
        <v>54</v>
      </c>
    </row>
    <row r="132" spans="1:15" x14ac:dyDescent="0.35">
      <c r="A132" s="5" t="s">
        <v>870</v>
      </c>
      <c r="B132" s="6" t="s">
        <v>762</v>
      </c>
      <c r="C132" s="6" t="s">
        <v>398</v>
      </c>
      <c r="D132" s="7" t="s">
        <v>48</v>
      </c>
      <c r="E132" s="7" t="s">
        <v>49</v>
      </c>
      <c r="F132" s="7" t="s">
        <v>50</v>
      </c>
      <c r="G132" s="7" t="s">
        <v>19</v>
      </c>
      <c r="H132" s="7" t="s">
        <v>52</v>
      </c>
      <c r="I132" s="7" t="s">
        <v>60</v>
      </c>
      <c r="J132" s="7" t="s">
        <v>51</v>
      </c>
      <c r="K132" s="7" t="s">
        <v>58</v>
      </c>
      <c r="L132" s="7"/>
      <c r="M132" s="5" t="s">
        <v>67</v>
      </c>
      <c r="N132" s="5" t="s">
        <v>67</v>
      </c>
      <c r="O132" s="7" t="s">
        <v>54</v>
      </c>
    </row>
    <row r="133" spans="1:15" x14ac:dyDescent="0.35">
      <c r="A133" s="5" t="s">
        <v>875</v>
      </c>
      <c r="B133" s="6" t="s">
        <v>681</v>
      </c>
      <c r="C133" s="6" t="s">
        <v>317</v>
      </c>
      <c r="D133" s="6" t="s">
        <v>48</v>
      </c>
      <c r="E133" s="6" t="s">
        <v>49</v>
      </c>
      <c r="F133" s="6" t="s">
        <v>50</v>
      </c>
      <c r="G133" s="6" t="s">
        <v>5</v>
      </c>
      <c r="H133" s="6" t="s">
        <v>52</v>
      </c>
      <c r="I133" s="6" t="s">
        <v>52</v>
      </c>
      <c r="J133" s="6"/>
      <c r="K133" s="6"/>
      <c r="L133" s="6"/>
      <c r="M133" s="5" t="s">
        <v>67</v>
      </c>
      <c r="N133" s="5" t="s">
        <v>67</v>
      </c>
      <c r="O133" s="6" t="s">
        <v>54</v>
      </c>
    </row>
    <row r="134" spans="1:15" x14ac:dyDescent="0.35">
      <c r="A134" s="5" t="s">
        <v>899</v>
      </c>
      <c r="B134" s="7" t="s">
        <v>808</v>
      </c>
      <c r="C134" s="7" t="s">
        <v>444</v>
      </c>
      <c r="D134" s="6" t="s">
        <v>48</v>
      </c>
      <c r="E134" s="6" t="s">
        <v>49</v>
      </c>
      <c r="F134" s="6" t="s">
        <v>50</v>
      </c>
      <c r="G134" s="6" t="s">
        <v>18</v>
      </c>
      <c r="H134" s="6" t="s">
        <v>52</v>
      </c>
      <c r="I134" s="6" t="s">
        <v>60</v>
      </c>
      <c r="J134" s="6" t="s">
        <v>51</v>
      </c>
      <c r="K134" s="6"/>
      <c r="L134" s="6"/>
      <c r="M134" s="5" t="s">
        <v>96</v>
      </c>
      <c r="N134" s="5" t="s">
        <v>96</v>
      </c>
      <c r="O134" s="6" t="s">
        <v>54</v>
      </c>
    </row>
    <row r="135" spans="1:15" x14ac:dyDescent="0.35">
      <c r="A135" s="5" t="s">
        <v>900</v>
      </c>
      <c r="B135" s="6" t="s">
        <v>770</v>
      </c>
      <c r="C135" s="6" t="s">
        <v>406</v>
      </c>
      <c r="D135" s="7" t="s">
        <v>48</v>
      </c>
      <c r="E135" s="7" t="s">
        <v>49</v>
      </c>
      <c r="F135" s="7" t="s">
        <v>50</v>
      </c>
      <c r="G135" s="7" t="s">
        <v>5</v>
      </c>
      <c r="H135" s="7" t="s">
        <v>52</v>
      </c>
      <c r="I135" s="7" t="s">
        <v>60</v>
      </c>
      <c r="J135" s="7"/>
      <c r="K135" s="7"/>
      <c r="L135" s="7"/>
      <c r="M135" s="5" t="s">
        <v>69</v>
      </c>
      <c r="N135" s="5" t="s">
        <v>69</v>
      </c>
      <c r="O135" s="7" t="s">
        <v>54</v>
      </c>
    </row>
    <row r="136" spans="1:15" x14ac:dyDescent="0.35">
      <c r="A136" s="5" t="s">
        <v>833</v>
      </c>
      <c r="B136" s="7" t="s">
        <v>496</v>
      </c>
      <c r="C136" s="7" t="s">
        <v>132</v>
      </c>
      <c r="D136" s="7" t="s">
        <v>48</v>
      </c>
      <c r="E136" s="7" t="s">
        <v>49</v>
      </c>
      <c r="F136" s="7" t="s">
        <v>55</v>
      </c>
      <c r="G136" s="7" t="s">
        <v>9</v>
      </c>
      <c r="H136" s="7" t="s">
        <v>52</v>
      </c>
      <c r="I136" s="7" t="s">
        <v>65</v>
      </c>
      <c r="J136" s="7"/>
      <c r="K136" s="7"/>
      <c r="L136" s="7"/>
      <c r="M136" s="5" t="s">
        <v>59</v>
      </c>
      <c r="N136" s="5" t="s">
        <v>59</v>
      </c>
      <c r="O136" s="7" t="s">
        <v>54</v>
      </c>
    </row>
    <row r="137" spans="1:15" x14ac:dyDescent="0.35">
      <c r="A137" s="5" t="s">
        <v>901</v>
      </c>
      <c r="B137" s="6" t="s">
        <v>677</v>
      </c>
      <c r="C137" s="6" t="s">
        <v>313</v>
      </c>
      <c r="D137" s="6" t="s">
        <v>93</v>
      </c>
      <c r="E137" s="6" t="s">
        <v>49</v>
      </c>
      <c r="F137" s="6" t="s">
        <v>50</v>
      </c>
      <c r="G137" s="6" t="s">
        <v>5</v>
      </c>
      <c r="H137" s="6" t="s">
        <v>52</v>
      </c>
      <c r="I137" s="6" t="s">
        <v>60</v>
      </c>
      <c r="J137" s="6"/>
      <c r="K137" s="6"/>
      <c r="L137" s="6"/>
      <c r="M137" s="5" t="s">
        <v>61</v>
      </c>
      <c r="N137" s="5" t="s">
        <v>61</v>
      </c>
      <c r="O137" s="6" t="s">
        <v>54</v>
      </c>
    </row>
    <row r="138" spans="1:15" x14ac:dyDescent="0.35">
      <c r="A138" s="5" t="s">
        <v>860</v>
      </c>
      <c r="B138" s="6" t="s">
        <v>504</v>
      </c>
      <c r="C138" s="6" t="s">
        <v>140</v>
      </c>
      <c r="D138" s="7" t="s">
        <v>48</v>
      </c>
      <c r="E138" s="7" t="s">
        <v>49</v>
      </c>
      <c r="F138" s="7" t="s">
        <v>55</v>
      </c>
      <c r="G138" s="7" t="s">
        <v>5</v>
      </c>
      <c r="H138" s="7" t="s">
        <v>52</v>
      </c>
      <c r="I138" s="7" t="s">
        <v>52</v>
      </c>
      <c r="J138" s="7"/>
      <c r="K138" s="7"/>
      <c r="L138" s="7"/>
      <c r="M138" s="5" t="s">
        <v>63</v>
      </c>
      <c r="N138" s="5" t="s">
        <v>63</v>
      </c>
      <c r="O138" s="7" t="s">
        <v>54</v>
      </c>
    </row>
    <row r="139" spans="1:15" x14ac:dyDescent="0.35">
      <c r="A139" s="5" t="s">
        <v>842</v>
      </c>
      <c r="B139" s="6" t="s">
        <v>612</v>
      </c>
      <c r="C139" s="6" t="s">
        <v>248</v>
      </c>
      <c r="D139" s="7" t="s">
        <v>48</v>
      </c>
      <c r="E139" s="7" t="s">
        <v>49</v>
      </c>
      <c r="F139" s="7" t="s">
        <v>55</v>
      </c>
      <c r="G139" s="7" t="s">
        <v>26</v>
      </c>
      <c r="H139" s="7" t="s">
        <v>52</v>
      </c>
      <c r="I139" s="7" t="s">
        <v>52</v>
      </c>
      <c r="J139" s="7" t="s">
        <v>51</v>
      </c>
      <c r="K139" s="7"/>
      <c r="L139" s="7"/>
      <c r="M139" s="5" t="s">
        <v>57</v>
      </c>
      <c r="N139" s="5" t="s">
        <v>57</v>
      </c>
      <c r="O139" s="7" t="s">
        <v>54</v>
      </c>
    </row>
    <row r="140" spans="1:15" x14ac:dyDescent="0.35">
      <c r="A140" s="5" t="s">
        <v>856</v>
      </c>
      <c r="B140" s="6" t="s">
        <v>585</v>
      </c>
      <c r="C140" s="6" t="s">
        <v>221</v>
      </c>
      <c r="D140" s="6" t="s">
        <v>48</v>
      </c>
      <c r="E140" s="6" t="s">
        <v>49</v>
      </c>
      <c r="F140" s="6" t="s">
        <v>50</v>
      </c>
      <c r="G140" s="6" t="s">
        <v>5</v>
      </c>
      <c r="H140" s="6" t="s">
        <v>52</v>
      </c>
      <c r="I140" s="6" t="s">
        <v>52</v>
      </c>
      <c r="J140" s="6" t="s">
        <v>51</v>
      </c>
      <c r="K140" s="6" t="s">
        <v>51</v>
      </c>
      <c r="L140" s="6"/>
      <c r="M140" s="5" t="s">
        <v>61</v>
      </c>
      <c r="N140" s="5" t="s">
        <v>61</v>
      </c>
      <c r="O140" s="6" t="s">
        <v>54</v>
      </c>
    </row>
    <row r="141" spans="1:15" x14ac:dyDescent="0.35">
      <c r="A141" s="5" t="s">
        <v>872</v>
      </c>
      <c r="B141" s="6" t="s">
        <v>696</v>
      </c>
      <c r="C141" s="6" t="s">
        <v>332</v>
      </c>
      <c r="D141" s="6" t="s">
        <v>48</v>
      </c>
      <c r="E141" s="6" t="s">
        <v>49</v>
      </c>
      <c r="F141" s="6" t="s">
        <v>55</v>
      </c>
      <c r="G141" s="6" t="s">
        <v>5</v>
      </c>
      <c r="H141" s="6" t="s">
        <v>52</v>
      </c>
      <c r="I141" s="6" t="s">
        <v>52</v>
      </c>
      <c r="J141" s="6"/>
      <c r="K141" s="6"/>
      <c r="L141" s="6"/>
      <c r="M141" s="5" t="s">
        <v>57</v>
      </c>
      <c r="N141" s="5" t="s">
        <v>57</v>
      </c>
      <c r="O141" s="6" t="s">
        <v>54</v>
      </c>
    </row>
    <row r="142" spans="1:15" x14ac:dyDescent="0.35">
      <c r="A142" s="5" t="s">
        <v>902</v>
      </c>
      <c r="B142" s="6" t="s">
        <v>741</v>
      </c>
      <c r="C142" s="6" t="s">
        <v>377</v>
      </c>
      <c r="D142" s="6" t="s">
        <v>48</v>
      </c>
      <c r="E142" s="6" t="s">
        <v>49</v>
      </c>
      <c r="F142" s="6" t="s">
        <v>50</v>
      </c>
      <c r="G142" s="6" t="s">
        <v>23</v>
      </c>
      <c r="H142" s="6" t="s">
        <v>52</v>
      </c>
      <c r="I142" s="6" t="s">
        <v>64</v>
      </c>
      <c r="J142" s="6" t="s">
        <v>51</v>
      </c>
      <c r="K142" s="6"/>
      <c r="L142" s="6" t="s">
        <v>62</v>
      </c>
      <c r="M142" s="5" t="s">
        <v>74</v>
      </c>
      <c r="N142" s="5" t="s">
        <v>74</v>
      </c>
      <c r="O142" s="6" t="s">
        <v>54</v>
      </c>
    </row>
    <row r="143" spans="1:15" x14ac:dyDescent="0.35">
      <c r="A143" s="5" t="s">
        <v>871</v>
      </c>
      <c r="B143" s="7" t="s">
        <v>541</v>
      </c>
      <c r="C143" s="7" t="s">
        <v>177</v>
      </c>
      <c r="D143" s="7" t="s">
        <v>48</v>
      </c>
      <c r="E143" s="7" t="s">
        <v>49</v>
      </c>
      <c r="F143" s="7" t="s">
        <v>50</v>
      </c>
      <c r="G143" s="7" t="s">
        <v>5</v>
      </c>
      <c r="H143" s="7" t="s">
        <v>52</v>
      </c>
      <c r="I143" s="7" t="s">
        <v>52</v>
      </c>
      <c r="J143" s="7"/>
      <c r="K143" s="7"/>
      <c r="L143" s="7"/>
      <c r="M143" s="5" t="s">
        <v>56</v>
      </c>
      <c r="N143" s="5" t="s">
        <v>56</v>
      </c>
      <c r="O143" s="7" t="s">
        <v>54</v>
      </c>
    </row>
    <row r="144" spans="1:15" x14ac:dyDescent="0.35">
      <c r="A144" s="5" t="s">
        <v>861</v>
      </c>
      <c r="B144" s="7" t="s">
        <v>688</v>
      </c>
      <c r="C144" s="7" t="s">
        <v>324</v>
      </c>
      <c r="D144" s="6" t="s">
        <v>48</v>
      </c>
      <c r="E144" s="6" t="s">
        <v>49</v>
      </c>
      <c r="F144" s="6" t="s">
        <v>50</v>
      </c>
      <c r="G144" s="6" t="s">
        <v>26</v>
      </c>
      <c r="H144" s="6" t="s">
        <v>52</v>
      </c>
      <c r="I144" s="6" t="s">
        <v>52</v>
      </c>
      <c r="J144" s="6" t="s">
        <v>51</v>
      </c>
      <c r="K144" s="6"/>
      <c r="L144" s="6"/>
      <c r="M144" s="5" t="s">
        <v>59</v>
      </c>
      <c r="N144" s="5" t="s">
        <v>59</v>
      </c>
      <c r="O144" s="6" t="s">
        <v>54</v>
      </c>
    </row>
    <row r="145" spans="1:15" x14ac:dyDescent="0.35">
      <c r="A145" s="5" t="s">
        <v>903</v>
      </c>
      <c r="B145" s="7" t="s">
        <v>574</v>
      </c>
      <c r="C145" s="7" t="s">
        <v>210</v>
      </c>
      <c r="D145" s="6" t="s">
        <v>48</v>
      </c>
      <c r="E145" s="6" t="s">
        <v>49</v>
      </c>
      <c r="F145" s="6" t="s">
        <v>55</v>
      </c>
      <c r="G145" s="6" t="s">
        <v>29</v>
      </c>
      <c r="H145" s="6" t="s">
        <v>52</v>
      </c>
      <c r="I145" s="6" t="s">
        <v>52</v>
      </c>
      <c r="J145" s="6"/>
      <c r="K145" s="6"/>
      <c r="L145" s="6"/>
      <c r="M145" s="5" t="s">
        <v>78</v>
      </c>
      <c r="N145" s="5" t="s">
        <v>78</v>
      </c>
      <c r="O145" s="6" t="s">
        <v>54</v>
      </c>
    </row>
    <row r="146" spans="1:15" x14ac:dyDescent="0.35">
      <c r="A146" s="5" t="s">
        <v>904</v>
      </c>
      <c r="B146" s="7" t="s">
        <v>487</v>
      </c>
      <c r="C146" s="7" t="s">
        <v>123</v>
      </c>
      <c r="D146" s="6" t="s">
        <v>48</v>
      </c>
      <c r="E146" s="6" t="s">
        <v>49</v>
      </c>
      <c r="F146" s="6" t="s">
        <v>55</v>
      </c>
      <c r="G146" s="6" t="s">
        <v>26</v>
      </c>
      <c r="H146" s="6" t="s">
        <v>52</v>
      </c>
      <c r="I146" s="6" t="s">
        <v>52</v>
      </c>
      <c r="J146" s="6"/>
      <c r="K146" s="6"/>
      <c r="L146" s="6"/>
      <c r="M146" s="5" t="s">
        <v>57</v>
      </c>
      <c r="N146" s="5" t="s">
        <v>57</v>
      </c>
      <c r="O146" s="6" t="s">
        <v>54</v>
      </c>
    </row>
    <row r="147" spans="1:15" x14ac:dyDescent="0.35">
      <c r="A147" s="5" t="s">
        <v>905</v>
      </c>
      <c r="B147" s="6" t="s">
        <v>599</v>
      </c>
      <c r="C147" s="6" t="s">
        <v>235</v>
      </c>
      <c r="D147" s="6" t="s">
        <v>48</v>
      </c>
      <c r="E147" s="6" t="s">
        <v>49</v>
      </c>
      <c r="F147" s="6" t="s">
        <v>50</v>
      </c>
      <c r="G147" s="6" t="s">
        <v>9</v>
      </c>
      <c r="H147" s="6" t="s">
        <v>52</v>
      </c>
      <c r="I147" s="6" t="s">
        <v>64</v>
      </c>
      <c r="J147" s="6" t="s">
        <v>51</v>
      </c>
      <c r="K147" s="6" t="s">
        <v>51</v>
      </c>
      <c r="L147" s="6"/>
      <c r="M147" s="5" t="s">
        <v>74</v>
      </c>
      <c r="N147" s="5" t="s">
        <v>74</v>
      </c>
      <c r="O147" s="6" t="s">
        <v>54</v>
      </c>
    </row>
    <row r="148" spans="1:15" x14ac:dyDescent="0.35">
      <c r="A148" s="5" t="s">
        <v>906</v>
      </c>
      <c r="B148" s="7" t="s">
        <v>562</v>
      </c>
      <c r="C148" s="7" t="s">
        <v>198</v>
      </c>
      <c r="D148" s="6" t="s">
        <v>48</v>
      </c>
      <c r="E148" s="6" t="s">
        <v>49</v>
      </c>
      <c r="F148" s="6" t="s">
        <v>50</v>
      </c>
      <c r="G148" s="6" t="s">
        <v>29</v>
      </c>
      <c r="H148" s="6" t="s">
        <v>52</v>
      </c>
      <c r="I148" s="6" t="s">
        <v>52</v>
      </c>
      <c r="J148" s="6"/>
      <c r="K148" s="6"/>
      <c r="L148" s="6"/>
      <c r="M148" s="5" t="s">
        <v>56</v>
      </c>
      <c r="N148" s="5" t="s">
        <v>56</v>
      </c>
      <c r="O148" s="6" t="s">
        <v>54</v>
      </c>
    </row>
    <row r="149" spans="1:15" x14ac:dyDescent="0.35">
      <c r="A149" s="5" t="s">
        <v>867</v>
      </c>
      <c r="B149" s="7" t="s">
        <v>643</v>
      </c>
      <c r="C149" s="7" t="s">
        <v>279</v>
      </c>
      <c r="D149" s="7" t="s">
        <v>48</v>
      </c>
      <c r="E149" s="7" t="s">
        <v>49</v>
      </c>
      <c r="F149" s="7" t="s">
        <v>50</v>
      </c>
      <c r="G149" s="7" t="s">
        <v>26</v>
      </c>
      <c r="H149" s="7" t="s">
        <v>52</v>
      </c>
      <c r="I149" s="7" t="s">
        <v>52</v>
      </c>
      <c r="J149" s="7"/>
      <c r="K149" s="7"/>
      <c r="L149" s="7"/>
      <c r="M149" s="5" t="s">
        <v>63</v>
      </c>
      <c r="N149" s="5" t="s">
        <v>63</v>
      </c>
      <c r="O149" s="7" t="s">
        <v>54</v>
      </c>
    </row>
    <row r="150" spans="1:15" x14ac:dyDescent="0.35">
      <c r="A150" s="5" t="s">
        <v>907</v>
      </c>
      <c r="B150" s="7" t="s">
        <v>607</v>
      </c>
      <c r="C150" s="7" t="s">
        <v>243</v>
      </c>
      <c r="D150" s="6" t="s">
        <v>48</v>
      </c>
      <c r="E150" s="6" t="s">
        <v>49</v>
      </c>
      <c r="F150" s="6" t="s">
        <v>50</v>
      </c>
      <c r="G150" s="6" t="s">
        <v>9</v>
      </c>
      <c r="H150" s="6" t="s">
        <v>51</v>
      </c>
      <c r="I150" s="6" t="s">
        <v>52</v>
      </c>
      <c r="J150" s="6" t="s">
        <v>51</v>
      </c>
      <c r="K150" s="6" t="s">
        <v>51</v>
      </c>
      <c r="L150" s="6"/>
      <c r="M150" s="5" t="s">
        <v>83</v>
      </c>
      <c r="N150" s="5" t="s">
        <v>83</v>
      </c>
      <c r="O150" s="6" t="s">
        <v>54</v>
      </c>
    </row>
    <row r="151" spans="1:15" x14ac:dyDescent="0.35">
      <c r="A151" s="5" t="s">
        <v>908</v>
      </c>
      <c r="B151" s="7" t="s">
        <v>742</v>
      </c>
      <c r="C151" s="7" t="s">
        <v>378</v>
      </c>
      <c r="D151" s="7" t="s">
        <v>48</v>
      </c>
      <c r="E151" s="7" t="s">
        <v>49</v>
      </c>
      <c r="F151" s="7" t="s">
        <v>55</v>
      </c>
      <c r="G151" s="7" t="s">
        <v>5</v>
      </c>
      <c r="H151" s="7" t="s">
        <v>52</v>
      </c>
      <c r="I151" s="7" t="s">
        <v>52</v>
      </c>
      <c r="J151" s="7" t="s">
        <v>51</v>
      </c>
      <c r="K151" s="7" t="s">
        <v>51</v>
      </c>
      <c r="L151" s="7"/>
      <c r="M151" s="5" t="s">
        <v>94</v>
      </c>
      <c r="N151" s="5" t="s">
        <v>94</v>
      </c>
      <c r="O151" s="7" t="s">
        <v>54</v>
      </c>
    </row>
    <row r="152" spans="1:15" x14ac:dyDescent="0.35">
      <c r="A152" s="5" t="s">
        <v>832</v>
      </c>
      <c r="B152" s="6" t="s">
        <v>492</v>
      </c>
      <c r="C152" s="6" t="s">
        <v>128</v>
      </c>
      <c r="D152" s="7" t="s">
        <v>48</v>
      </c>
      <c r="E152" s="7" t="s">
        <v>49</v>
      </c>
      <c r="F152" s="7" t="s">
        <v>50</v>
      </c>
      <c r="G152" s="7" t="s">
        <v>5</v>
      </c>
      <c r="H152" s="7" t="s">
        <v>52</v>
      </c>
      <c r="I152" s="7" t="s">
        <v>52</v>
      </c>
      <c r="J152" s="7" t="s">
        <v>51</v>
      </c>
      <c r="K152" s="7"/>
      <c r="L152" s="7"/>
      <c r="M152" s="5" t="s">
        <v>59</v>
      </c>
      <c r="N152" s="5" t="s">
        <v>59</v>
      </c>
      <c r="O152" s="7" t="s">
        <v>54</v>
      </c>
    </row>
    <row r="153" spans="1:15" x14ac:dyDescent="0.35">
      <c r="A153" s="5" t="s">
        <v>909</v>
      </c>
      <c r="B153" s="7" t="s">
        <v>550</v>
      </c>
      <c r="C153" s="7" t="s">
        <v>186</v>
      </c>
      <c r="D153" s="6" t="s">
        <v>48</v>
      </c>
      <c r="E153" s="6" t="s">
        <v>49</v>
      </c>
      <c r="F153" s="6" t="s">
        <v>55</v>
      </c>
      <c r="G153" s="6" t="s">
        <v>4</v>
      </c>
      <c r="H153" s="6" t="s">
        <v>52</v>
      </c>
      <c r="I153" s="6" t="s">
        <v>52</v>
      </c>
      <c r="J153" s="6"/>
      <c r="K153" s="6"/>
      <c r="L153" s="6"/>
      <c r="M153" s="5" t="s">
        <v>72</v>
      </c>
      <c r="N153" s="5" t="s">
        <v>72</v>
      </c>
      <c r="O153" s="6" t="s">
        <v>54</v>
      </c>
    </row>
    <row r="154" spans="1:15" x14ac:dyDescent="0.35">
      <c r="A154" s="5" t="s">
        <v>841</v>
      </c>
      <c r="B154" s="6" t="s">
        <v>695</v>
      </c>
      <c r="C154" s="6" t="s">
        <v>331</v>
      </c>
      <c r="D154" s="7" t="s">
        <v>48</v>
      </c>
      <c r="E154" s="7" t="s">
        <v>49</v>
      </c>
      <c r="F154" s="7" t="s">
        <v>50</v>
      </c>
      <c r="G154" s="7" t="s">
        <v>5</v>
      </c>
      <c r="H154" s="7" t="s">
        <v>52</v>
      </c>
      <c r="I154" s="7" t="s">
        <v>52</v>
      </c>
      <c r="J154" s="7"/>
      <c r="K154" s="7"/>
      <c r="L154" s="7"/>
      <c r="M154" s="5" t="s">
        <v>57</v>
      </c>
      <c r="N154" s="5" t="s">
        <v>57</v>
      </c>
      <c r="O154" s="7" t="s">
        <v>54</v>
      </c>
    </row>
    <row r="155" spans="1:15" x14ac:dyDescent="0.35">
      <c r="A155" s="5" t="s">
        <v>833</v>
      </c>
      <c r="B155" s="6" t="s">
        <v>578</v>
      </c>
      <c r="C155" s="6" t="s">
        <v>214</v>
      </c>
      <c r="D155" s="6" t="s">
        <v>48</v>
      </c>
      <c r="E155" s="6" t="s">
        <v>49</v>
      </c>
      <c r="F155" s="6" t="s">
        <v>55</v>
      </c>
      <c r="G155" s="6" t="s">
        <v>9</v>
      </c>
      <c r="H155" s="6" t="s">
        <v>51</v>
      </c>
      <c r="I155" s="6" t="s">
        <v>52</v>
      </c>
      <c r="J155" s="6" t="s">
        <v>51</v>
      </c>
      <c r="K155" s="6" t="s">
        <v>51</v>
      </c>
      <c r="L155" s="6"/>
      <c r="M155" s="5" t="s">
        <v>59</v>
      </c>
      <c r="N155" s="5" t="s">
        <v>59</v>
      </c>
      <c r="O155" s="6" t="s">
        <v>54</v>
      </c>
    </row>
    <row r="156" spans="1:15" x14ac:dyDescent="0.35">
      <c r="A156" s="5" t="s">
        <v>874</v>
      </c>
      <c r="B156" s="7" t="s">
        <v>529</v>
      </c>
      <c r="C156" s="7" t="s">
        <v>165</v>
      </c>
      <c r="D156" s="7" t="s">
        <v>48</v>
      </c>
      <c r="E156" s="7" t="s">
        <v>49</v>
      </c>
      <c r="F156" s="7" t="s">
        <v>55</v>
      </c>
      <c r="G156" s="7" t="s">
        <v>20</v>
      </c>
      <c r="H156" s="7" t="s">
        <v>52</v>
      </c>
      <c r="I156" s="7" t="s">
        <v>65</v>
      </c>
      <c r="J156" s="7"/>
      <c r="K156" s="7"/>
      <c r="L156" s="7"/>
      <c r="M156" s="5" t="s">
        <v>66</v>
      </c>
      <c r="N156" s="5" t="s">
        <v>66</v>
      </c>
      <c r="O156" s="7" t="s">
        <v>54</v>
      </c>
    </row>
    <row r="157" spans="1:15" x14ac:dyDescent="0.35">
      <c r="A157" s="5" t="s">
        <v>845</v>
      </c>
      <c r="B157" s="7" t="s">
        <v>712</v>
      </c>
      <c r="C157" s="7" t="s">
        <v>348</v>
      </c>
      <c r="D157" s="7" t="s">
        <v>48</v>
      </c>
      <c r="E157" s="7" t="s">
        <v>49</v>
      </c>
      <c r="F157" s="7" t="s">
        <v>55</v>
      </c>
      <c r="G157" s="7" t="s">
        <v>26</v>
      </c>
      <c r="H157" s="7" t="s">
        <v>52</v>
      </c>
      <c r="I157" s="7" t="s">
        <v>52</v>
      </c>
      <c r="J157" s="7"/>
      <c r="K157" s="7"/>
      <c r="L157" s="7"/>
      <c r="M157" s="5" t="s">
        <v>57</v>
      </c>
      <c r="N157" s="5" t="s">
        <v>57</v>
      </c>
      <c r="O157" s="7" t="s">
        <v>54</v>
      </c>
    </row>
    <row r="158" spans="1:15" x14ac:dyDescent="0.35">
      <c r="A158" s="5" t="s">
        <v>876</v>
      </c>
      <c r="B158" s="6" t="s">
        <v>494</v>
      </c>
      <c r="C158" s="6" t="s">
        <v>130</v>
      </c>
      <c r="D158" s="7" t="s">
        <v>48</v>
      </c>
      <c r="E158" s="7" t="s">
        <v>49</v>
      </c>
      <c r="F158" s="7" t="s">
        <v>55</v>
      </c>
      <c r="G158" s="7" t="s">
        <v>9</v>
      </c>
      <c r="H158" s="7" t="s">
        <v>52</v>
      </c>
      <c r="I158" s="7" t="s">
        <v>52</v>
      </c>
      <c r="J158" s="7" t="s">
        <v>51</v>
      </c>
      <c r="K158" s="7"/>
      <c r="L158" s="7"/>
      <c r="M158" s="5" t="s">
        <v>63</v>
      </c>
      <c r="N158" s="5" t="s">
        <v>63</v>
      </c>
      <c r="O158" s="7" t="s">
        <v>54</v>
      </c>
    </row>
    <row r="159" spans="1:15" x14ac:dyDescent="0.35">
      <c r="A159" s="5" t="s">
        <v>839</v>
      </c>
      <c r="B159" s="6" t="s">
        <v>602</v>
      </c>
      <c r="C159" s="6" t="s">
        <v>238</v>
      </c>
      <c r="D159" s="7" t="s">
        <v>48</v>
      </c>
      <c r="E159" s="7" t="s">
        <v>49</v>
      </c>
      <c r="F159" s="7" t="s">
        <v>55</v>
      </c>
      <c r="G159" s="7" t="s">
        <v>13</v>
      </c>
      <c r="H159" s="7" t="s">
        <v>52</v>
      </c>
      <c r="I159" s="7" t="s">
        <v>52</v>
      </c>
      <c r="J159" s="7"/>
      <c r="K159" s="7"/>
      <c r="L159" s="7"/>
      <c r="M159" s="5" t="s">
        <v>59</v>
      </c>
      <c r="N159" s="5" t="s">
        <v>59</v>
      </c>
      <c r="O159" s="7" t="s">
        <v>54</v>
      </c>
    </row>
    <row r="160" spans="1:15" x14ac:dyDescent="0.35">
      <c r="A160" s="5" t="s">
        <v>873</v>
      </c>
      <c r="B160" s="7" t="s">
        <v>799</v>
      </c>
      <c r="C160" s="7" t="s">
        <v>435</v>
      </c>
      <c r="D160" s="7" t="s">
        <v>48</v>
      </c>
      <c r="E160" s="7" t="s">
        <v>49</v>
      </c>
      <c r="F160" s="7" t="s">
        <v>50</v>
      </c>
      <c r="G160" s="7" t="s">
        <v>9</v>
      </c>
      <c r="H160" s="7" t="s">
        <v>52</v>
      </c>
      <c r="I160" s="7" t="s">
        <v>52</v>
      </c>
      <c r="J160" s="7"/>
      <c r="K160" s="7"/>
      <c r="L160" s="7"/>
      <c r="M160" s="5" t="s">
        <v>57</v>
      </c>
      <c r="N160" s="5" t="s">
        <v>57</v>
      </c>
      <c r="O160" s="7" t="s">
        <v>54</v>
      </c>
    </row>
    <row r="161" spans="1:15" x14ac:dyDescent="0.35">
      <c r="A161" s="5" t="s">
        <v>864</v>
      </c>
      <c r="B161" s="6" t="s">
        <v>525</v>
      </c>
      <c r="C161" s="6" t="s">
        <v>161</v>
      </c>
      <c r="D161" s="7" t="s">
        <v>48</v>
      </c>
      <c r="E161" s="7" t="s">
        <v>49</v>
      </c>
      <c r="F161" s="7" t="s">
        <v>50</v>
      </c>
      <c r="G161" s="7" t="s">
        <v>22</v>
      </c>
      <c r="H161" s="7" t="s">
        <v>52</v>
      </c>
      <c r="I161" s="7" t="s">
        <v>52</v>
      </c>
      <c r="J161" s="7" t="s">
        <v>51</v>
      </c>
      <c r="K161" s="7"/>
      <c r="L161" s="7"/>
      <c r="M161" s="5" t="s">
        <v>57</v>
      </c>
      <c r="N161" s="5" t="s">
        <v>57</v>
      </c>
      <c r="O161" s="7" t="s">
        <v>54</v>
      </c>
    </row>
    <row r="162" spans="1:15" x14ac:dyDescent="0.35">
      <c r="A162" s="5" t="s">
        <v>901</v>
      </c>
      <c r="B162" s="6" t="s">
        <v>558</v>
      </c>
      <c r="C162" s="6" t="s">
        <v>194</v>
      </c>
      <c r="D162" s="6" t="s">
        <v>48</v>
      </c>
      <c r="E162" s="6" t="s">
        <v>49</v>
      </c>
      <c r="F162" s="6" t="s">
        <v>50</v>
      </c>
      <c r="G162" s="6" t="s">
        <v>26</v>
      </c>
      <c r="H162" s="6" t="s">
        <v>52</v>
      </c>
      <c r="I162" s="6" t="s">
        <v>60</v>
      </c>
      <c r="J162" s="6" t="s">
        <v>51</v>
      </c>
      <c r="K162" s="6" t="s">
        <v>51</v>
      </c>
      <c r="L162" s="6"/>
      <c r="M162" s="5" t="s">
        <v>61</v>
      </c>
      <c r="N162" s="5" t="s">
        <v>61</v>
      </c>
      <c r="O162" s="6" t="s">
        <v>54</v>
      </c>
    </row>
    <row r="163" spans="1:15" x14ac:dyDescent="0.35">
      <c r="A163" s="5" t="s">
        <v>896</v>
      </c>
      <c r="B163" s="6" t="s">
        <v>788</v>
      </c>
      <c r="C163" s="6" t="s">
        <v>424</v>
      </c>
      <c r="D163" s="6" t="s">
        <v>48</v>
      </c>
      <c r="E163" s="6" t="s">
        <v>49</v>
      </c>
      <c r="F163" s="6" t="s">
        <v>55</v>
      </c>
      <c r="G163" s="6" t="s">
        <v>5</v>
      </c>
      <c r="H163" s="6" t="s">
        <v>51</v>
      </c>
      <c r="I163" s="6" t="s">
        <v>52</v>
      </c>
      <c r="J163" s="6"/>
      <c r="K163" s="6"/>
      <c r="L163" s="6"/>
      <c r="M163" s="5" t="s">
        <v>69</v>
      </c>
      <c r="N163" s="5" t="s">
        <v>69</v>
      </c>
      <c r="O163" s="6" t="s">
        <v>54</v>
      </c>
    </row>
    <row r="164" spans="1:15" x14ac:dyDescent="0.35">
      <c r="A164" s="5" t="s">
        <v>844</v>
      </c>
      <c r="B164" s="6" t="s">
        <v>543</v>
      </c>
      <c r="C164" s="6" t="s">
        <v>179</v>
      </c>
      <c r="D164" s="7" t="s">
        <v>48</v>
      </c>
      <c r="E164" s="7" t="s">
        <v>49</v>
      </c>
      <c r="F164" s="7" t="s">
        <v>50</v>
      </c>
      <c r="G164" s="7" t="s">
        <v>5</v>
      </c>
      <c r="H164" s="7" t="s">
        <v>52</v>
      </c>
      <c r="I164" s="7" t="s">
        <v>52</v>
      </c>
      <c r="J164" s="7" t="s">
        <v>51</v>
      </c>
      <c r="K164" s="7"/>
      <c r="L164" s="7"/>
      <c r="M164" s="5" t="s">
        <v>63</v>
      </c>
      <c r="N164" s="5" t="s">
        <v>63</v>
      </c>
      <c r="O164" s="7" t="s">
        <v>54</v>
      </c>
    </row>
    <row r="165" spans="1:15" x14ac:dyDescent="0.35">
      <c r="A165" s="5" t="s">
        <v>910</v>
      </c>
      <c r="B165" s="7" t="s">
        <v>628</v>
      </c>
      <c r="C165" s="7" t="s">
        <v>264</v>
      </c>
      <c r="D165" s="6" t="s">
        <v>48</v>
      </c>
      <c r="E165" s="6" t="s">
        <v>49</v>
      </c>
      <c r="F165" s="6" t="s">
        <v>55</v>
      </c>
      <c r="G165" s="6" t="s">
        <v>26</v>
      </c>
      <c r="H165" s="6" t="s">
        <v>52</v>
      </c>
      <c r="I165" s="6" t="s">
        <v>52</v>
      </c>
      <c r="J165" s="6" t="s">
        <v>51</v>
      </c>
      <c r="K165" s="6"/>
      <c r="L165" s="6"/>
      <c r="M165" s="5" t="s">
        <v>87</v>
      </c>
      <c r="N165" s="5" t="s">
        <v>87</v>
      </c>
      <c r="O165" s="6" t="s">
        <v>54</v>
      </c>
    </row>
    <row r="166" spans="1:15" x14ac:dyDescent="0.35">
      <c r="A166" s="5" t="s">
        <v>859</v>
      </c>
      <c r="B166" s="7" t="s">
        <v>817</v>
      </c>
      <c r="C166" s="7" t="s">
        <v>453</v>
      </c>
      <c r="D166" s="7" t="s">
        <v>48</v>
      </c>
      <c r="E166" s="7" t="s">
        <v>49</v>
      </c>
      <c r="F166" s="7" t="s">
        <v>50</v>
      </c>
      <c r="G166" s="7" t="s">
        <v>13</v>
      </c>
      <c r="H166" s="7" t="s">
        <v>52</v>
      </c>
      <c r="I166" s="7" t="s">
        <v>60</v>
      </c>
      <c r="J166" s="7" t="s">
        <v>51</v>
      </c>
      <c r="K166" s="7"/>
      <c r="L166" s="7"/>
      <c r="M166" s="5" t="s">
        <v>59</v>
      </c>
      <c r="N166" s="5" t="s">
        <v>59</v>
      </c>
      <c r="O166" s="7" t="s">
        <v>54</v>
      </c>
    </row>
    <row r="167" spans="1:15" x14ac:dyDescent="0.35">
      <c r="A167" s="5" t="s">
        <v>911</v>
      </c>
      <c r="B167" s="6" t="s">
        <v>629</v>
      </c>
      <c r="C167" s="6" t="s">
        <v>265</v>
      </c>
      <c r="D167" s="7" t="s">
        <v>48</v>
      </c>
      <c r="E167" s="7" t="s">
        <v>49</v>
      </c>
      <c r="F167" s="7" t="s">
        <v>55</v>
      </c>
      <c r="G167" s="7" t="s">
        <v>29</v>
      </c>
      <c r="H167" s="7" t="s">
        <v>51</v>
      </c>
      <c r="I167" s="7" t="s">
        <v>52</v>
      </c>
      <c r="J167" s="7" t="s">
        <v>51</v>
      </c>
      <c r="K167" s="7" t="s">
        <v>51</v>
      </c>
      <c r="L167" s="7"/>
      <c r="M167" s="5" t="s">
        <v>88</v>
      </c>
      <c r="N167" s="5" t="s">
        <v>88</v>
      </c>
      <c r="O167" s="7" t="s">
        <v>54</v>
      </c>
    </row>
    <row r="168" spans="1:15" x14ac:dyDescent="0.35">
      <c r="A168" s="5" t="s">
        <v>912</v>
      </c>
      <c r="B168" s="7" t="s">
        <v>826</v>
      </c>
      <c r="C168" s="7" t="s">
        <v>462</v>
      </c>
      <c r="D168" s="6" t="s">
        <v>48</v>
      </c>
      <c r="E168" s="6" t="s">
        <v>49</v>
      </c>
      <c r="F168" s="6" t="s">
        <v>50</v>
      </c>
      <c r="G168" s="6" t="s">
        <v>26</v>
      </c>
      <c r="H168" s="6" t="s">
        <v>51</v>
      </c>
      <c r="I168" s="6" t="s">
        <v>52</v>
      </c>
      <c r="J168" s="6" t="s">
        <v>51</v>
      </c>
      <c r="K168" s="6" t="s">
        <v>51</v>
      </c>
      <c r="L168" s="6"/>
      <c r="M168" s="5" t="s">
        <v>99</v>
      </c>
      <c r="N168" s="5" t="s">
        <v>99</v>
      </c>
      <c r="O168" s="6" t="s">
        <v>54</v>
      </c>
    </row>
    <row r="169" spans="1:15" x14ac:dyDescent="0.35">
      <c r="A169" s="5" t="s">
        <v>830</v>
      </c>
      <c r="B169" s="7" t="s">
        <v>502</v>
      </c>
      <c r="C169" s="7" t="s">
        <v>138</v>
      </c>
      <c r="D169" s="7" t="s">
        <v>48</v>
      </c>
      <c r="E169" s="7" t="s">
        <v>49</v>
      </c>
      <c r="F169" s="7" t="s">
        <v>55</v>
      </c>
      <c r="G169" s="7" t="s">
        <v>5</v>
      </c>
      <c r="H169" s="7" t="s">
        <v>52</v>
      </c>
      <c r="I169" s="7" t="s">
        <v>65</v>
      </c>
      <c r="J169" s="7"/>
      <c r="K169" s="7"/>
      <c r="L169" s="7"/>
      <c r="M169" s="5" t="s">
        <v>56</v>
      </c>
      <c r="N169" s="5" t="s">
        <v>56</v>
      </c>
      <c r="O169" s="7" t="s">
        <v>54</v>
      </c>
    </row>
    <row r="170" spans="1:15" x14ac:dyDescent="0.35">
      <c r="A170" s="5" t="s">
        <v>879</v>
      </c>
      <c r="B170" s="6" t="s">
        <v>591</v>
      </c>
      <c r="C170" s="6" t="s">
        <v>227</v>
      </c>
      <c r="D170" s="6" t="s">
        <v>48</v>
      </c>
      <c r="E170" s="6" t="s">
        <v>49</v>
      </c>
      <c r="F170" s="6" t="s">
        <v>50</v>
      </c>
      <c r="G170" s="6" t="s">
        <v>29</v>
      </c>
      <c r="H170" s="6" t="s">
        <v>52</v>
      </c>
      <c r="I170" s="6" t="s">
        <v>60</v>
      </c>
      <c r="J170" s="6"/>
      <c r="K170" s="6"/>
      <c r="L170" s="6"/>
      <c r="M170" s="5" t="s">
        <v>61</v>
      </c>
      <c r="N170" s="5" t="s">
        <v>61</v>
      </c>
      <c r="O170" s="6" t="s">
        <v>54</v>
      </c>
    </row>
    <row r="171" spans="1:15" x14ac:dyDescent="0.35">
      <c r="A171" s="5" t="s">
        <v>851</v>
      </c>
      <c r="B171" s="6" t="s">
        <v>666</v>
      </c>
      <c r="C171" s="6" t="s">
        <v>302</v>
      </c>
      <c r="D171" s="7" t="s">
        <v>48</v>
      </c>
      <c r="E171" s="7" t="s">
        <v>49</v>
      </c>
      <c r="F171" s="7" t="s">
        <v>55</v>
      </c>
      <c r="G171" s="7" t="s">
        <v>20</v>
      </c>
      <c r="H171" s="7" t="s">
        <v>52</v>
      </c>
      <c r="I171" s="7" t="s">
        <v>60</v>
      </c>
      <c r="J171" s="7" t="s">
        <v>51</v>
      </c>
      <c r="K171" s="7"/>
      <c r="L171" s="7"/>
      <c r="M171" s="5" t="s">
        <v>67</v>
      </c>
      <c r="N171" s="5" t="s">
        <v>67</v>
      </c>
      <c r="O171" s="7" t="s">
        <v>54</v>
      </c>
    </row>
    <row r="172" spans="1:15" x14ac:dyDescent="0.35">
      <c r="A172" s="5" t="s">
        <v>849</v>
      </c>
      <c r="B172" s="6" t="s">
        <v>665</v>
      </c>
      <c r="C172" s="6" t="s">
        <v>301</v>
      </c>
      <c r="D172" s="6" t="s">
        <v>48</v>
      </c>
      <c r="E172" s="6" t="s">
        <v>49</v>
      </c>
      <c r="F172" s="6" t="s">
        <v>55</v>
      </c>
      <c r="G172" s="6" t="s">
        <v>26</v>
      </c>
      <c r="H172" s="6" t="s">
        <v>52</v>
      </c>
      <c r="I172" s="6" t="s">
        <v>52</v>
      </c>
      <c r="J172" s="6"/>
      <c r="K172" s="6"/>
      <c r="L172" s="6"/>
      <c r="M172" s="5" t="s">
        <v>59</v>
      </c>
      <c r="N172" s="5" t="s">
        <v>59</v>
      </c>
      <c r="O172" s="6" t="s">
        <v>54</v>
      </c>
    </row>
    <row r="173" spans="1:15" x14ac:dyDescent="0.35">
      <c r="A173" s="5" t="s">
        <v>833</v>
      </c>
      <c r="B173" s="7" t="s">
        <v>751</v>
      </c>
      <c r="C173" s="7" t="s">
        <v>387</v>
      </c>
      <c r="D173" s="6" t="s">
        <v>48</v>
      </c>
      <c r="E173" s="6" t="s">
        <v>49</v>
      </c>
      <c r="F173" s="6" t="s">
        <v>55</v>
      </c>
      <c r="G173" s="6" t="s">
        <v>2</v>
      </c>
      <c r="H173" s="6" t="s">
        <v>51</v>
      </c>
      <c r="I173" s="6" t="s">
        <v>52</v>
      </c>
      <c r="J173" s="6" t="s">
        <v>51</v>
      </c>
      <c r="K173" s="6" t="s">
        <v>51</v>
      </c>
      <c r="L173" s="6"/>
      <c r="M173" s="5" t="s">
        <v>59</v>
      </c>
      <c r="N173" s="5" t="s">
        <v>59</v>
      </c>
      <c r="O173" s="6" t="s">
        <v>54</v>
      </c>
    </row>
    <row r="174" spans="1:15" x14ac:dyDescent="0.35">
      <c r="A174" s="5" t="s">
        <v>847</v>
      </c>
      <c r="B174" s="6" t="s">
        <v>800</v>
      </c>
      <c r="C174" s="6" t="s">
        <v>436</v>
      </c>
      <c r="D174" s="6" t="s">
        <v>48</v>
      </c>
      <c r="E174" s="6" t="s">
        <v>49</v>
      </c>
      <c r="F174" s="6" t="s">
        <v>55</v>
      </c>
      <c r="G174" s="6" t="s">
        <v>9</v>
      </c>
      <c r="H174" s="6" t="s">
        <v>52</v>
      </c>
      <c r="I174" s="6" t="s">
        <v>81</v>
      </c>
      <c r="J174" s="6"/>
      <c r="K174" s="6"/>
      <c r="L174" s="6"/>
      <c r="M174" s="5" t="s">
        <v>67</v>
      </c>
      <c r="N174" s="5" t="s">
        <v>67</v>
      </c>
      <c r="O174" s="6" t="s">
        <v>54</v>
      </c>
    </row>
    <row r="175" spans="1:15" x14ac:dyDescent="0.35">
      <c r="A175" s="5" t="s">
        <v>849</v>
      </c>
      <c r="B175" s="6" t="s">
        <v>755</v>
      </c>
      <c r="C175" s="6" t="s">
        <v>391</v>
      </c>
      <c r="D175" s="6" t="s">
        <v>48</v>
      </c>
      <c r="E175" s="6" t="s">
        <v>49</v>
      </c>
      <c r="F175" s="6" t="s">
        <v>55</v>
      </c>
      <c r="G175" s="6" t="s">
        <v>5</v>
      </c>
      <c r="H175" s="6" t="s">
        <v>52</v>
      </c>
      <c r="I175" s="6" t="s">
        <v>52</v>
      </c>
      <c r="J175" s="6"/>
      <c r="K175" s="6"/>
      <c r="L175" s="6"/>
      <c r="M175" s="5" t="s">
        <v>59</v>
      </c>
      <c r="N175" s="5" t="s">
        <v>59</v>
      </c>
      <c r="O175" s="6" t="s">
        <v>54</v>
      </c>
    </row>
    <row r="176" spans="1:15" x14ac:dyDescent="0.35">
      <c r="A176" s="5" t="s">
        <v>846</v>
      </c>
      <c r="B176" s="6" t="s">
        <v>573</v>
      </c>
      <c r="C176" s="6" t="s">
        <v>209</v>
      </c>
      <c r="D176" s="7" t="s">
        <v>48</v>
      </c>
      <c r="E176" s="7" t="s">
        <v>49</v>
      </c>
      <c r="F176" s="7" t="s">
        <v>50</v>
      </c>
      <c r="G176" s="7" t="s">
        <v>0</v>
      </c>
      <c r="H176" s="7" t="s">
        <v>52</v>
      </c>
      <c r="I176" s="7" t="s">
        <v>52</v>
      </c>
      <c r="J176" s="7"/>
      <c r="K176" s="7"/>
      <c r="L176" s="7"/>
      <c r="M176" s="5" t="s">
        <v>57</v>
      </c>
      <c r="N176" s="5" t="s">
        <v>57</v>
      </c>
      <c r="O176" s="7" t="s">
        <v>54</v>
      </c>
    </row>
    <row r="177" spans="1:15" x14ac:dyDescent="0.35">
      <c r="A177" s="5" t="s">
        <v>893</v>
      </c>
      <c r="B177" s="6" t="s">
        <v>657</v>
      </c>
      <c r="C177" s="6" t="s">
        <v>293</v>
      </c>
      <c r="D177" s="6" t="s">
        <v>48</v>
      </c>
      <c r="E177" s="6" t="s">
        <v>49</v>
      </c>
      <c r="F177" s="6" t="s">
        <v>55</v>
      </c>
      <c r="G177" s="6" t="s">
        <v>9</v>
      </c>
      <c r="H177" s="6" t="s">
        <v>52</v>
      </c>
      <c r="I177" s="6" t="s">
        <v>52</v>
      </c>
      <c r="J177" s="6"/>
      <c r="K177" s="6"/>
      <c r="L177" s="6"/>
      <c r="M177" s="5" t="s">
        <v>67</v>
      </c>
      <c r="N177" s="5" t="s">
        <v>67</v>
      </c>
      <c r="O177" s="6" t="s">
        <v>54</v>
      </c>
    </row>
    <row r="178" spans="1:15" x14ac:dyDescent="0.35">
      <c r="A178" s="5" t="s">
        <v>834</v>
      </c>
      <c r="B178" s="7" t="s">
        <v>664</v>
      </c>
      <c r="C178" s="7" t="s">
        <v>300</v>
      </c>
      <c r="D178" s="7" t="s">
        <v>48</v>
      </c>
      <c r="E178" s="7" t="s">
        <v>49</v>
      </c>
      <c r="F178" s="7" t="s">
        <v>55</v>
      </c>
      <c r="G178" s="7" t="s">
        <v>19</v>
      </c>
      <c r="H178" s="7" t="s">
        <v>52</v>
      </c>
      <c r="I178" s="7" t="s">
        <v>60</v>
      </c>
      <c r="J178" s="7"/>
      <c r="K178" s="7"/>
      <c r="L178" s="7"/>
      <c r="M178" s="5" t="s">
        <v>56</v>
      </c>
      <c r="N178" s="5" t="s">
        <v>56</v>
      </c>
      <c r="O178" s="7" t="s">
        <v>54</v>
      </c>
    </row>
    <row r="179" spans="1:15" x14ac:dyDescent="0.35">
      <c r="A179" s="5" t="s">
        <v>870</v>
      </c>
      <c r="B179" s="6" t="s">
        <v>635</v>
      </c>
      <c r="C179" s="6" t="s">
        <v>271</v>
      </c>
      <c r="D179" s="7" t="s">
        <v>48</v>
      </c>
      <c r="E179" s="7" t="s">
        <v>49</v>
      </c>
      <c r="F179" s="7" t="s">
        <v>50</v>
      </c>
      <c r="G179" s="7" t="s">
        <v>9</v>
      </c>
      <c r="H179" s="7" t="s">
        <v>52</v>
      </c>
      <c r="I179" s="7" t="s">
        <v>52</v>
      </c>
      <c r="J179" s="7"/>
      <c r="K179" s="7"/>
      <c r="L179" s="7"/>
      <c r="M179" s="5" t="s">
        <v>67</v>
      </c>
      <c r="N179" s="5" t="s">
        <v>67</v>
      </c>
      <c r="O179" s="7" t="s">
        <v>54</v>
      </c>
    </row>
    <row r="180" spans="1:15" x14ac:dyDescent="0.35">
      <c r="A180" s="5" t="s">
        <v>913</v>
      </c>
      <c r="B180" s="6" t="s">
        <v>780</v>
      </c>
      <c r="C180" s="6" t="s">
        <v>416</v>
      </c>
      <c r="D180" s="7" t="s">
        <v>48</v>
      </c>
      <c r="E180" s="7" t="s">
        <v>49</v>
      </c>
      <c r="F180" s="7" t="s">
        <v>50</v>
      </c>
      <c r="G180" s="7" t="s">
        <v>13</v>
      </c>
      <c r="H180" s="7" t="s">
        <v>52</v>
      </c>
      <c r="I180" s="7" t="s">
        <v>60</v>
      </c>
      <c r="J180" s="7" t="s">
        <v>51</v>
      </c>
      <c r="K180" s="7" t="s">
        <v>51</v>
      </c>
      <c r="L180" s="7"/>
      <c r="M180" s="5" t="s">
        <v>75</v>
      </c>
      <c r="N180" s="5" t="s">
        <v>75</v>
      </c>
      <c r="O180" s="7" t="s">
        <v>54</v>
      </c>
    </row>
    <row r="181" spans="1:15" x14ac:dyDescent="0.35">
      <c r="A181" s="5" t="s">
        <v>864</v>
      </c>
      <c r="B181" s="6" t="s">
        <v>710</v>
      </c>
      <c r="C181" s="6" t="s">
        <v>346</v>
      </c>
      <c r="D181" s="7" t="s">
        <v>48</v>
      </c>
      <c r="E181" s="7" t="s">
        <v>49</v>
      </c>
      <c r="F181" s="7" t="s">
        <v>50</v>
      </c>
      <c r="G181" s="7" t="s">
        <v>5</v>
      </c>
      <c r="H181" s="7" t="s">
        <v>51</v>
      </c>
      <c r="I181" s="7" t="s">
        <v>52</v>
      </c>
      <c r="J181" s="7" t="s">
        <v>51</v>
      </c>
      <c r="K181" s="7"/>
      <c r="L181" s="7"/>
      <c r="M181" s="5" t="s">
        <v>57</v>
      </c>
      <c r="N181" s="5" t="s">
        <v>57</v>
      </c>
      <c r="O181" s="7" t="s">
        <v>54</v>
      </c>
    </row>
    <row r="182" spans="1:15" x14ac:dyDescent="0.35">
      <c r="A182" s="5" t="s">
        <v>843</v>
      </c>
      <c r="B182" s="6" t="s">
        <v>683</v>
      </c>
      <c r="C182" s="6" t="s">
        <v>319</v>
      </c>
      <c r="D182" s="6" t="s">
        <v>48</v>
      </c>
      <c r="E182" s="6" t="s">
        <v>49</v>
      </c>
      <c r="F182" s="6" t="s">
        <v>50</v>
      </c>
      <c r="G182" s="6" t="s">
        <v>7</v>
      </c>
      <c r="H182" s="6" t="s">
        <v>52</v>
      </c>
      <c r="I182" s="6" t="s">
        <v>52</v>
      </c>
      <c r="J182" s="6"/>
      <c r="K182" s="6"/>
      <c r="L182" s="6"/>
      <c r="M182" s="5" t="s">
        <v>67</v>
      </c>
      <c r="N182" s="5" t="s">
        <v>67</v>
      </c>
      <c r="O182" s="6" t="s">
        <v>54</v>
      </c>
    </row>
    <row r="183" spans="1:15" x14ac:dyDescent="0.35">
      <c r="A183" s="5" t="s">
        <v>914</v>
      </c>
      <c r="B183" s="7" t="s">
        <v>823</v>
      </c>
      <c r="C183" s="7" t="s">
        <v>459</v>
      </c>
      <c r="D183" s="7" t="s">
        <v>48</v>
      </c>
      <c r="E183" s="7" t="s">
        <v>49</v>
      </c>
      <c r="F183" s="7" t="s">
        <v>55</v>
      </c>
      <c r="G183" s="7" t="s">
        <v>25</v>
      </c>
      <c r="H183" s="7" t="s">
        <v>52</v>
      </c>
      <c r="I183" s="7" t="s">
        <v>52</v>
      </c>
      <c r="J183" s="7" t="s">
        <v>51</v>
      </c>
      <c r="K183" s="7" t="s">
        <v>51</v>
      </c>
      <c r="L183" s="7"/>
      <c r="M183" s="5" t="s">
        <v>98</v>
      </c>
      <c r="N183" s="5" t="s">
        <v>98</v>
      </c>
      <c r="O183" s="7" t="s">
        <v>54</v>
      </c>
    </row>
    <row r="184" spans="1:15" x14ac:dyDescent="0.35">
      <c r="A184" s="5" t="s">
        <v>915</v>
      </c>
      <c r="B184" s="6" t="s">
        <v>690</v>
      </c>
      <c r="C184" s="6" t="s">
        <v>326</v>
      </c>
      <c r="D184" s="6" t="s">
        <v>48</v>
      </c>
      <c r="E184" s="6" t="s">
        <v>49</v>
      </c>
      <c r="F184" s="6" t="s">
        <v>55</v>
      </c>
      <c r="G184" s="6" t="s">
        <v>26</v>
      </c>
      <c r="H184" s="6" t="s">
        <v>52</v>
      </c>
      <c r="I184" s="6" t="s">
        <v>52</v>
      </c>
      <c r="J184" s="6"/>
      <c r="K184" s="6"/>
      <c r="L184" s="6"/>
      <c r="M184" s="5" t="s">
        <v>74</v>
      </c>
      <c r="N184" s="5" t="s">
        <v>74</v>
      </c>
      <c r="O184" s="6" t="s">
        <v>54</v>
      </c>
    </row>
    <row r="185" spans="1:15" x14ac:dyDescent="0.35">
      <c r="A185" s="5" t="s">
        <v>847</v>
      </c>
      <c r="B185" s="6" t="s">
        <v>794</v>
      </c>
      <c r="C185" s="6" t="s">
        <v>430</v>
      </c>
      <c r="D185" s="6" t="s">
        <v>48</v>
      </c>
      <c r="E185" s="6" t="s">
        <v>49</v>
      </c>
      <c r="F185" s="6" t="s">
        <v>55</v>
      </c>
      <c r="G185" s="6" t="s">
        <v>21</v>
      </c>
      <c r="H185" s="6" t="s">
        <v>52</v>
      </c>
      <c r="I185" s="6" t="s">
        <v>52</v>
      </c>
      <c r="J185" s="6" t="s">
        <v>51</v>
      </c>
      <c r="K185" s="6" t="s">
        <v>58</v>
      </c>
      <c r="L185" s="6"/>
      <c r="M185" s="5" t="s">
        <v>67</v>
      </c>
      <c r="N185" s="5" t="s">
        <v>67</v>
      </c>
      <c r="O185" s="6" t="s">
        <v>54</v>
      </c>
    </row>
    <row r="186" spans="1:15" x14ac:dyDescent="0.35">
      <c r="A186" s="5" t="s">
        <v>836</v>
      </c>
      <c r="B186" s="7" t="s">
        <v>601</v>
      </c>
      <c r="C186" s="7" t="s">
        <v>237</v>
      </c>
      <c r="D186" s="6" t="s">
        <v>48</v>
      </c>
      <c r="E186" s="6" t="s">
        <v>49</v>
      </c>
      <c r="F186" s="6" t="s">
        <v>50</v>
      </c>
      <c r="G186" s="6" t="s">
        <v>9</v>
      </c>
      <c r="H186" s="6" t="s">
        <v>52</v>
      </c>
      <c r="I186" s="6" t="s">
        <v>60</v>
      </c>
      <c r="J186" s="6"/>
      <c r="K186" s="6"/>
      <c r="L186" s="6"/>
      <c r="M186" s="5" t="s">
        <v>63</v>
      </c>
      <c r="N186" s="5" t="s">
        <v>63</v>
      </c>
      <c r="O186" s="6" t="s">
        <v>54</v>
      </c>
    </row>
    <row r="187" spans="1:15" x14ac:dyDescent="0.35">
      <c r="A187" s="5" t="s">
        <v>850</v>
      </c>
      <c r="B187" s="6" t="s">
        <v>554</v>
      </c>
      <c r="C187" s="6" t="s">
        <v>190</v>
      </c>
      <c r="D187" s="6" t="s">
        <v>48</v>
      </c>
      <c r="E187" s="6" t="s">
        <v>49</v>
      </c>
      <c r="F187" s="6" t="s">
        <v>50</v>
      </c>
      <c r="G187" s="6" t="s">
        <v>9</v>
      </c>
      <c r="H187" s="6" t="s">
        <v>52</v>
      </c>
      <c r="I187" s="6" t="s">
        <v>52</v>
      </c>
      <c r="J187" s="6"/>
      <c r="K187" s="6"/>
      <c r="L187" s="6"/>
      <c r="M187" s="5" t="s">
        <v>57</v>
      </c>
      <c r="N187" s="5" t="s">
        <v>57</v>
      </c>
      <c r="O187" s="6" t="s">
        <v>54</v>
      </c>
    </row>
    <row r="188" spans="1:15" x14ac:dyDescent="0.35">
      <c r="A188" s="5" t="s">
        <v>916</v>
      </c>
      <c r="B188" s="6" t="s">
        <v>729</v>
      </c>
      <c r="C188" s="6" t="s">
        <v>365</v>
      </c>
      <c r="D188" s="6" t="s">
        <v>48</v>
      </c>
      <c r="E188" s="6" t="s">
        <v>49</v>
      </c>
      <c r="F188" s="6" t="s">
        <v>55</v>
      </c>
      <c r="G188" s="6" t="s">
        <v>29</v>
      </c>
      <c r="H188" s="6" t="s">
        <v>52</v>
      </c>
      <c r="I188" s="6" t="s">
        <v>60</v>
      </c>
      <c r="J188" s="6"/>
      <c r="K188" s="6"/>
      <c r="L188" s="6"/>
      <c r="M188" s="5" t="s">
        <v>56</v>
      </c>
      <c r="N188" s="5" t="s">
        <v>56</v>
      </c>
      <c r="O188" s="6" t="s">
        <v>54</v>
      </c>
    </row>
    <row r="189" spans="1:15" x14ac:dyDescent="0.35">
      <c r="A189" s="5" t="s">
        <v>864</v>
      </c>
      <c r="B189" s="7" t="s">
        <v>724</v>
      </c>
      <c r="C189" s="7" t="s">
        <v>360</v>
      </c>
      <c r="D189" s="7" t="s">
        <v>48</v>
      </c>
      <c r="E189" s="7" t="s">
        <v>49</v>
      </c>
      <c r="F189" s="7" t="s">
        <v>50</v>
      </c>
      <c r="G189" s="7" t="s">
        <v>13</v>
      </c>
      <c r="H189" s="7" t="s">
        <v>52</v>
      </c>
      <c r="I189" s="7" t="s">
        <v>52</v>
      </c>
      <c r="J189" s="7"/>
      <c r="K189" s="7"/>
      <c r="L189" s="7"/>
      <c r="M189" s="5" t="s">
        <v>57</v>
      </c>
      <c r="N189" s="5" t="s">
        <v>57</v>
      </c>
      <c r="O189" s="7" t="s">
        <v>54</v>
      </c>
    </row>
    <row r="190" spans="1:15" x14ac:dyDescent="0.35">
      <c r="A190" s="5" t="s">
        <v>879</v>
      </c>
      <c r="B190" s="6" t="s">
        <v>777</v>
      </c>
      <c r="C190" s="6" t="s">
        <v>413</v>
      </c>
      <c r="D190" s="6" t="s">
        <v>48</v>
      </c>
      <c r="E190" s="6" t="s">
        <v>49</v>
      </c>
      <c r="F190" s="6" t="s">
        <v>50</v>
      </c>
      <c r="G190" s="6" t="s">
        <v>5</v>
      </c>
      <c r="H190" s="6" t="s">
        <v>52</v>
      </c>
      <c r="I190" s="6" t="s">
        <v>60</v>
      </c>
      <c r="J190" s="6" t="s">
        <v>51</v>
      </c>
      <c r="K190" s="6"/>
      <c r="L190" s="6"/>
      <c r="M190" s="5" t="s">
        <v>61</v>
      </c>
      <c r="N190" s="5" t="s">
        <v>61</v>
      </c>
      <c r="O190" s="6" t="s">
        <v>54</v>
      </c>
    </row>
    <row r="191" spans="1:15" x14ac:dyDescent="0.35">
      <c r="A191" s="5" t="s">
        <v>848</v>
      </c>
      <c r="B191" s="6" t="s">
        <v>495</v>
      </c>
      <c r="C191" s="6" t="s">
        <v>131</v>
      </c>
      <c r="D191" s="6" t="s">
        <v>48</v>
      </c>
      <c r="E191" s="6" t="s">
        <v>49</v>
      </c>
      <c r="F191" s="6" t="s">
        <v>50</v>
      </c>
      <c r="G191" s="6" t="s">
        <v>5</v>
      </c>
      <c r="H191" s="6" t="s">
        <v>51</v>
      </c>
      <c r="I191" s="6" t="s">
        <v>52</v>
      </c>
      <c r="J191" s="6"/>
      <c r="K191" s="6"/>
      <c r="L191" s="6"/>
      <c r="M191" s="5" t="s">
        <v>56</v>
      </c>
      <c r="N191" s="5" t="s">
        <v>56</v>
      </c>
      <c r="O191" s="6" t="s">
        <v>54</v>
      </c>
    </row>
    <row r="192" spans="1:15" x14ac:dyDescent="0.35">
      <c r="A192" s="5" t="s">
        <v>877</v>
      </c>
      <c r="B192" s="7" t="s">
        <v>508</v>
      </c>
      <c r="C192" s="7" t="s">
        <v>144</v>
      </c>
      <c r="D192" s="7" t="s">
        <v>48</v>
      </c>
      <c r="E192" s="7" t="s">
        <v>49</v>
      </c>
      <c r="F192" s="7" t="s">
        <v>50</v>
      </c>
      <c r="G192" s="7" t="s">
        <v>21</v>
      </c>
      <c r="H192" s="7" t="s">
        <v>52</v>
      </c>
      <c r="I192" s="7" t="s">
        <v>52</v>
      </c>
      <c r="J192" s="7" t="s">
        <v>51</v>
      </c>
      <c r="K192" s="7" t="s">
        <v>51</v>
      </c>
      <c r="L192" s="7" t="s">
        <v>68</v>
      </c>
      <c r="M192" s="5" t="s">
        <v>63</v>
      </c>
      <c r="N192" s="5" t="s">
        <v>63</v>
      </c>
      <c r="O192" s="7" t="s">
        <v>54</v>
      </c>
    </row>
    <row r="193" spans="1:15" x14ac:dyDescent="0.35">
      <c r="A193" s="5" t="s">
        <v>844</v>
      </c>
      <c r="B193" s="6" t="s">
        <v>735</v>
      </c>
      <c r="C193" s="6" t="s">
        <v>371</v>
      </c>
      <c r="D193" s="6" t="s">
        <v>48</v>
      </c>
      <c r="E193" s="6" t="s">
        <v>49</v>
      </c>
      <c r="F193" s="6" t="s">
        <v>50</v>
      </c>
      <c r="G193" s="6" t="s">
        <v>20</v>
      </c>
      <c r="H193" s="6" t="s">
        <v>52</v>
      </c>
      <c r="I193" s="6" t="s">
        <v>52</v>
      </c>
      <c r="J193" s="6"/>
      <c r="K193" s="6"/>
      <c r="L193" s="6"/>
      <c r="M193" s="5" t="s">
        <v>63</v>
      </c>
      <c r="N193" s="5" t="s">
        <v>63</v>
      </c>
      <c r="O193" s="6" t="s">
        <v>54</v>
      </c>
    </row>
    <row r="194" spans="1:15" x14ac:dyDescent="0.35">
      <c r="A194" s="5" t="s">
        <v>861</v>
      </c>
      <c r="B194" s="6" t="s">
        <v>759</v>
      </c>
      <c r="C194" s="6" t="s">
        <v>395</v>
      </c>
      <c r="D194" s="6" t="s">
        <v>48</v>
      </c>
      <c r="E194" s="6" t="s">
        <v>49</v>
      </c>
      <c r="F194" s="6" t="s">
        <v>50</v>
      </c>
      <c r="G194" s="6" t="s">
        <v>0</v>
      </c>
      <c r="H194" s="6" t="s">
        <v>52</v>
      </c>
      <c r="I194" s="6" t="s">
        <v>52</v>
      </c>
      <c r="J194" s="6"/>
      <c r="K194" s="6"/>
      <c r="L194" s="6"/>
      <c r="M194" s="5" t="s">
        <v>59</v>
      </c>
      <c r="N194" s="5" t="s">
        <v>59</v>
      </c>
      <c r="O194" s="6" t="s">
        <v>54</v>
      </c>
    </row>
    <row r="195" spans="1:15" x14ac:dyDescent="0.35">
      <c r="A195" s="5" t="s">
        <v>839</v>
      </c>
      <c r="B195" s="6" t="s">
        <v>597</v>
      </c>
      <c r="C195" s="6" t="s">
        <v>233</v>
      </c>
      <c r="D195" s="6" t="s">
        <v>48</v>
      </c>
      <c r="E195" s="6" t="s">
        <v>49</v>
      </c>
      <c r="F195" s="6" t="s">
        <v>55</v>
      </c>
      <c r="G195" s="6" t="s">
        <v>29</v>
      </c>
      <c r="H195" s="6" t="s">
        <v>52</v>
      </c>
      <c r="I195" s="6" t="s">
        <v>52</v>
      </c>
      <c r="J195" s="6" t="s">
        <v>51</v>
      </c>
      <c r="K195" s="6"/>
      <c r="L195" s="6"/>
      <c r="M195" s="5" t="s">
        <v>59</v>
      </c>
      <c r="N195" s="5" t="s">
        <v>59</v>
      </c>
      <c r="O195" s="6" t="s">
        <v>54</v>
      </c>
    </row>
    <row r="196" spans="1:15" x14ac:dyDescent="0.35">
      <c r="A196" s="5" t="s">
        <v>829</v>
      </c>
      <c r="B196" s="7" t="s">
        <v>583</v>
      </c>
      <c r="C196" s="7" t="s">
        <v>219</v>
      </c>
      <c r="D196" s="6" t="s">
        <v>48</v>
      </c>
      <c r="E196" s="6" t="s">
        <v>49</v>
      </c>
      <c r="F196" s="6" t="s">
        <v>55</v>
      </c>
      <c r="G196" s="6" t="s">
        <v>5</v>
      </c>
      <c r="H196" s="6" t="s">
        <v>52</v>
      </c>
      <c r="I196" s="6" t="s">
        <v>52</v>
      </c>
      <c r="J196" s="6" t="s">
        <v>51</v>
      </c>
      <c r="K196" s="6"/>
      <c r="L196" s="6"/>
      <c r="M196" s="5" t="s">
        <v>56</v>
      </c>
      <c r="N196" s="5" t="s">
        <v>56</v>
      </c>
      <c r="O196" s="6" t="s">
        <v>54</v>
      </c>
    </row>
    <row r="197" spans="1:15" x14ac:dyDescent="0.35">
      <c r="A197" s="5" t="s">
        <v>896</v>
      </c>
      <c r="B197" s="6" t="s">
        <v>513</v>
      </c>
      <c r="C197" s="6" t="s">
        <v>149</v>
      </c>
      <c r="D197" s="6" t="s">
        <v>48</v>
      </c>
      <c r="E197" s="6" t="s">
        <v>49</v>
      </c>
      <c r="F197" s="6" t="s">
        <v>55</v>
      </c>
      <c r="G197" s="6" t="s">
        <v>9</v>
      </c>
      <c r="H197" s="6" t="s">
        <v>52</v>
      </c>
      <c r="I197" s="6" t="s">
        <v>52</v>
      </c>
      <c r="J197" s="6"/>
      <c r="K197" s="6"/>
      <c r="L197" s="6"/>
      <c r="M197" s="5" t="s">
        <v>69</v>
      </c>
      <c r="N197" s="5" t="s">
        <v>69</v>
      </c>
      <c r="O197" s="6" t="s">
        <v>54</v>
      </c>
    </row>
    <row r="198" spans="1:15" x14ac:dyDescent="0.35">
      <c r="A198" s="5" t="s">
        <v>833</v>
      </c>
      <c r="B198" s="6" t="s">
        <v>500</v>
      </c>
      <c r="C198" s="6" t="s">
        <v>136</v>
      </c>
      <c r="D198" s="7" t="s">
        <v>48</v>
      </c>
      <c r="E198" s="7" t="s">
        <v>49</v>
      </c>
      <c r="F198" s="7" t="s">
        <v>55</v>
      </c>
      <c r="G198" s="7" t="s">
        <v>5</v>
      </c>
      <c r="H198" s="7" t="s">
        <v>52</v>
      </c>
      <c r="I198" s="7" t="s">
        <v>52</v>
      </c>
      <c r="J198" s="7"/>
      <c r="K198" s="7"/>
      <c r="L198" s="7"/>
      <c r="M198" s="5" t="s">
        <v>59</v>
      </c>
      <c r="N198" s="5" t="s">
        <v>59</v>
      </c>
      <c r="O198" s="7" t="s">
        <v>54</v>
      </c>
    </row>
    <row r="199" spans="1:15" x14ac:dyDescent="0.35">
      <c r="A199" s="5" t="s">
        <v>891</v>
      </c>
      <c r="B199" s="7" t="s">
        <v>580</v>
      </c>
      <c r="C199" s="7" t="s">
        <v>216</v>
      </c>
      <c r="D199" s="6" t="s">
        <v>48</v>
      </c>
      <c r="E199" s="6" t="s">
        <v>49</v>
      </c>
      <c r="F199" s="6" t="s">
        <v>55</v>
      </c>
      <c r="G199" s="6" t="s">
        <v>7</v>
      </c>
      <c r="H199" s="6" t="s">
        <v>52</v>
      </c>
      <c r="I199" s="6" t="s">
        <v>52</v>
      </c>
      <c r="J199" s="6"/>
      <c r="K199" s="6"/>
      <c r="L199" s="6"/>
      <c r="M199" s="5" t="s">
        <v>63</v>
      </c>
      <c r="N199" s="5" t="s">
        <v>63</v>
      </c>
      <c r="O199" s="6" t="s">
        <v>54</v>
      </c>
    </row>
    <row r="200" spans="1:15" x14ac:dyDescent="0.35">
      <c r="A200" s="5" t="s">
        <v>882</v>
      </c>
      <c r="B200" s="6" t="s">
        <v>503</v>
      </c>
      <c r="C200" s="6" t="s">
        <v>139</v>
      </c>
      <c r="D200" s="6" t="s">
        <v>48</v>
      </c>
      <c r="E200" s="6" t="s">
        <v>49</v>
      </c>
      <c r="F200" s="6" t="s">
        <v>50</v>
      </c>
      <c r="G200" s="6" t="s">
        <v>5</v>
      </c>
      <c r="H200" s="6" t="s">
        <v>52</v>
      </c>
      <c r="I200" s="6" t="s">
        <v>52</v>
      </c>
      <c r="J200" s="6" t="s">
        <v>51</v>
      </c>
      <c r="K200" s="6" t="s">
        <v>58</v>
      </c>
      <c r="L200" s="6"/>
      <c r="M200" s="5" t="s">
        <v>56</v>
      </c>
      <c r="N200" s="5" t="s">
        <v>56</v>
      </c>
      <c r="O200" s="6" t="s">
        <v>54</v>
      </c>
    </row>
    <row r="201" spans="1:15" x14ac:dyDescent="0.35">
      <c r="A201" s="5" t="s">
        <v>850</v>
      </c>
      <c r="B201" s="6" t="s">
        <v>815</v>
      </c>
      <c r="C201" s="6" t="s">
        <v>451</v>
      </c>
      <c r="D201" s="7" t="s">
        <v>48</v>
      </c>
      <c r="E201" s="7" t="s">
        <v>49</v>
      </c>
      <c r="F201" s="7" t="s">
        <v>50</v>
      </c>
      <c r="G201" s="7" t="s">
        <v>26</v>
      </c>
      <c r="H201" s="7" t="s">
        <v>51</v>
      </c>
      <c r="I201" s="7" t="s">
        <v>52</v>
      </c>
      <c r="J201" s="7"/>
      <c r="K201" s="7"/>
      <c r="L201" s="7"/>
      <c r="M201" s="5" t="s">
        <v>57</v>
      </c>
      <c r="N201" s="5" t="s">
        <v>57</v>
      </c>
      <c r="O201" s="7" t="s">
        <v>54</v>
      </c>
    </row>
    <row r="202" spans="1:15" x14ac:dyDescent="0.35">
      <c r="A202" s="5" t="s">
        <v>864</v>
      </c>
      <c r="B202" s="6" t="s">
        <v>468</v>
      </c>
      <c r="C202" s="6" t="s">
        <v>104</v>
      </c>
      <c r="D202" s="7" t="s">
        <v>48</v>
      </c>
      <c r="E202" s="7" t="s">
        <v>49</v>
      </c>
      <c r="F202" s="7" t="s">
        <v>50</v>
      </c>
      <c r="G202" s="7" t="s">
        <v>5</v>
      </c>
      <c r="H202" s="7" t="s">
        <v>51</v>
      </c>
      <c r="I202" s="7" t="s">
        <v>52</v>
      </c>
      <c r="J202" s="7" t="s">
        <v>51</v>
      </c>
      <c r="K202" s="7" t="s">
        <v>58</v>
      </c>
      <c r="L202" s="7"/>
      <c r="M202" s="5" t="s">
        <v>57</v>
      </c>
      <c r="N202" s="5" t="s">
        <v>57</v>
      </c>
      <c r="O202" s="7" t="s">
        <v>54</v>
      </c>
    </row>
    <row r="203" spans="1:15" x14ac:dyDescent="0.35">
      <c r="A203" s="5" t="s">
        <v>864</v>
      </c>
      <c r="B203" s="6" t="s">
        <v>623</v>
      </c>
      <c r="C203" s="6" t="s">
        <v>259</v>
      </c>
      <c r="D203" s="6" t="s">
        <v>48</v>
      </c>
      <c r="E203" s="6" t="s">
        <v>49</v>
      </c>
      <c r="F203" s="6" t="s">
        <v>50</v>
      </c>
      <c r="G203" s="6" t="s">
        <v>26</v>
      </c>
      <c r="H203" s="6" t="s">
        <v>52</v>
      </c>
      <c r="I203" s="6" t="s">
        <v>52</v>
      </c>
      <c r="J203" s="6"/>
      <c r="K203" s="6"/>
      <c r="L203" s="6"/>
      <c r="M203" s="5" t="s">
        <v>57</v>
      </c>
      <c r="N203" s="5" t="s">
        <v>57</v>
      </c>
      <c r="O203" s="6" t="s">
        <v>54</v>
      </c>
    </row>
    <row r="204" spans="1:15" x14ac:dyDescent="0.35">
      <c r="A204" s="5" t="s">
        <v>837</v>
      </c>
      <c r="B204" s="6" t="s">
        <v>734</v>
      </c>
      <c r="C204" s="6" t="s">
        <v>370</v>
      </c>
      <c r="D204" s="7" t="s">
        <v>48</v>
      </c>
      <c r="E204" s="7" t="s">
        <v>49</v>
      </c>
      <c r="F204" s="7" t="s">
        <v>55</v>
      </c>
      <c r="G204" s="7" t="s">
        <v>5</v>
      </c>
      <c r="H204" s="7" t="s">
        <v>52</v>
      </c>
      <c r="I204" s="7" t="s">
        <v>52</v>
      </c>
      <c r="J204" s="7"/>
      <c r="K204" s="7"/>
      <c r="L204" s="7"/>
      <c r="M204" s="5" t="s">
        <v>63</v>
      </c>
      <c r="N204" s="5" t="s">
        <v>63</v>
      </c>
      <c r="O204" s="7" t="s">
        <v>54</v>
      </c>
    </row>
    <row r="205" spans="1:15" x14ac:dyDescent="0.35">
      <c r="A205" s="5" t="s">
        <v>893</v>
      </c>
      <c r="B205" s="6" t="s">
        <v>752</v>
      </c>
      <c r="C205" s="6" t="s">
        <v>388</v>
      </c>
      <c r="D205" s="7" t="s">
        <v>48</v>
      </c>
      <c r="E205" s="7" t="s">
        <v>49</v>
      </c>
      <c r="F205" s="7" t="s">
        <v>55</v>
      </c>
      <c r="G205" s="7" t="s">
        <v>16</v>
      </c>
      <c r="H205" s="7" t="s">
        <v>52</v>
      </c>
      <c r="I205" s="7" t="s">
        <v>52</v>
      </c>
      <c r="J205" s="7"/>
      <c r="K205" s="7"/>
      <c r="L205" s="7"/>
      <c r="M205" s="5" t="s">
        <v>67</v>
      </c>
      <c r="N205" s="5" t="s">
        <v>67</v>
      </c>
      <c r="O205" s="7" t="s">
        <v>54</v>
      </c>
    </row>
    <row r="206" spans="1:15" x14ac:dyDescent="0.35">
      <c r="A206" s="5" t="s">
        <v>873</v>
      </c>
      <c r="B206" s="6" t="s">
        <v>477</v>
      </c>
      <c r="C206" s="6" t="s">
        <v>113</v>
      </c>
      <c r="D206" s="6" t="s">
        <v>48</v>
      </c>
      <c r="E206" s="6" t="s">
        <v>49</v>
      </c>
      <c r="F206" s="6" t="s">
        <v>50</v>
      </c>
      <c r="G206" s="6" t="s">
        <v>29</v>
      </c>
      <c r="H206" s="6" t="s">
        <v>52</v>
      </c>
      <c r="I206" s="6" t="s">
        <v>64</v>
      </c>
      <c r="J206" s="6"/>
      <c r="K206" s="6"/>
      <c r="L206" s="6"/>
      <c r="M206" s="5" t="s">
        <v>57</v>
      </c>
      <c r="N206" s="5" t="s">
        <v>57</v>
      </c>
      <c r="O206" s="6" t="s">
        <v>54</v>
      </c>
    </row>
    <row r="207" spans="1:15" x14ac:dyDescent="0.35">
      <c r="A207" s="5" t="s">
        <v>849</v>
      </c>
      <c r="B207" s="6" t="s">
        <v>671</v>
      </c>
      <c r="C207" s="6" t="s">
        <v>307</v>
      </c>
      <c r="D207" s="6" t="s">
        <v>48</v>
      </c>
      <c r="E207" s="6" t="s">
        <v>49</v>
      </c>
      <c r="F207" s="6" t="s">
        <v>55</v>
      </c>
      <c r="G207" s="6" t="s">
        <v>12</v>
      </c>
      <c r="H207" s="6" t="s">
        <v>51</v>
      </c>
      <c r="I207" s="6" t="s">
        <v>52</v>
      </c>
      <c r="J207" s="6" t="s">
        <v>51</v>
      </c>
      <c r="K207" s="6" t="s">
        <v>51</v>
      </c>
      <c r="L207" s="6"/>
      <c r="M207" s="5" t="s">
        <v>59</v>
      </c>
      <c r="N207" s="5" t="s">
        <v>59</v>
      </c>
      <c r="O207" s="6" t="s">
        <v>54</v>
      </c>
    </row>
    <row r="208" spans="1:15" x14ac:dyDescent="0.35">
      <c r="A208" s="5" t="s">
        <v>841</v>
      </c>
      <c r="B208" s="7" t="s">
        <v>535</v>
      </c>
      <c r="C208" s="7" t="s">
        <v>171</v>
      </c>
      <c r="D208" s="7" t="s">
        <v>48</v>
      </c>
      <c r="E208" s="7" t="s">
        <v>49</v>
      </c>
      <c r="F208" s="7" t="s">
        <v>50</v>
      </c>
      <c r="G208" s="7" t="s">
        <v>5</v>
      </c>
      <c r="H208" s="7" t="s">
        <v>52</v>
      </c>
      <c r="I208" s="7" t="s">
        <v>52</v>
      </c>
      <c r="J208" s="7"/>
      <c r="K208" s="7"/>
      <c r="L208" s="7"/>
      <c r="M208" s="5" t="s">
        <v>57</v>
      </c>
      <c r="N208" s="5" t="s">
        <v>57</v>
      </c>
      <c r="O208" s="7" t="s">
        <v>54</v>
      </c>
    </row>
    <row r="209" spans="1:15" x14ac:dyDescent="0.35">
      <c r="A209" s="5" t="s">
        <v>901</v>
      </c>
      <c r="B209" s="7" t="s">
        <v>772</v>
      </c>
      <c r="C209" s="7" t="s">
        <v>408</v>
      </c>
      <c r="D209" s="7" t="s">
        <v>48</v>
      </c>
      <c r="E209" s="7" t="s">
        <v>49</v>
      </c>
      <c r="F209" s="7" t="s">
        <v>50</v>
      </c>
      <c r="G209" s="7" t="s">
        <v>9</v>
      </c>
      <c r="H209" s="7" t="s">
        <v>52</v>
      </c>
      <c r="I209" s="7" t="s">
        <v>52</v>
      </c>
      <c r="J209" s="7"/>
      <c r="K209" s="7"/>
      <c r="L209" s="7"/>
      <c r="M209" s="5" t="s">
        <v>61</v>
      </c>
      <c r="N209" s="5" t="s">
        <v>61</v>
      </c>
      <c r="O209" s="7" t="s">
        <v>54</v>
      </c>
    </row>
    <row r="210" spans="1:15" x14ac:dyDescent="0.35">
      <c r="A210" s="5" t="s">
        <v>841</v>
      </c>
      <c r="B210" s="6" t="s">
        <v>566</v>
      </c>
      <c r="C210" s="6" t="s">
        <v>202</v>
      </c>
      <c r="D210" s="6" t="s">
        <v>48</v>
      </c>
      <c r="E210" s="6" t="s">
        <v>49</v>
      </c>
      <c r="F210" s="6" t="s">
        <v>50</v>
      </c>
      <c r="G210" s="6" t="s">
        <v>9</v>
      </c>
      <c r="H210" s="6" t="s">
        <v>52</v>
      </c>
      <c r="I210" s="6" t="s">
        <v>52</v>
      </c>
      <c r="J210" s="6"/>
      <c r="K210" s="6"/>
      <c r="L210" s="6"/>
      <c r="M210" s="5" t="s">
        <v>57</v>
      </c>
      <c r="N210" s="5" t="s">
        <v>57</v>
      </c>
      <c r="O210" s="6" t="s">
        <v>54</v>
      </c>
    </row>
    <row r="211" spans="1:15" x14ac:dyDescent="0.35">
      <c r="A211" s="5" t="s">
        <v>901</v>
      </c>
      <c r="B211" s="7" t="s">
        <v>802</v>
      </c>
      <c r="C211" s="7" t="s">
        <v>438</v>
      </c>
      <c r="D211" s="6" t="s">
        <v>48</v>
      </c>
      <c r="E211" s="6" t="s">
        <v>49</v>
      </c>
      <c r="F211" s="6" t="s">
        <v>50</v>
      </c>
      <c r="G211" s="6" t="s">
        <v>5</v>
      </c>
      <c r="H211" s="6" t="s">
        <v>52</v>
      </c>
      <c r="I211" s="6" t="s">
        <v>52</v>
      </c>
      <c r="J211" s="6"/>
      <c r="K211" s="6"/>
      <c r="L211" s="6"/>
      <c r="M211" s="5" t="s">
        <v>61</v>
      </c>
      <c r="N211" s="5" t="s">
        <v>61</v>
      </c>
      <c r="O211" s="6" t="s">
        <v>54</v>
      </c>
    </row>
    <row r="212" spans="1:15" x14ac:dyDescent="0.35">
      <c r="A212" s="5" t="s">
        <v>830</v>
      </c>
      <c r="B212" s="6" t="s">
        <v>575</v>
      </c>
      <c r="C212" s="6" t="s">
        <v>211</v>
      </c>
      <c r="D212" s="7" t="s">
        <v>48</v>
      </c>
      <c r="E212" s="7" t="s">
        <v>49</v>
      </c>
      <c r="F212" s="7" t="s">
        <v>55</v>
      </c>
      <c r="G212" s="7" t="s">
        <v>8</v>
      </c>
      <c r="H212" s="7" t="s">
        <v>52</v>
      </c>
      <c r="I212" s="7" t="s">
        <v>60</v>
      </c>
      <c r="J212" s="7"/>
      <c r="K212" s="7"/>
      <c r="L212" s="7"/>
      <c r="M212" s="5" t="s">
        <v>56</v>
      </c>
      <c r="N212" s="5" t="s">
        <v>56</v>
      </c>
      <c r="O212" s="7" t="s">
        <v>54</v>
      </c>
    </row>
    <row r="213" spans="1:15" x14ac:dyDescent="0.35">
      <c r="A213" s="5" t="s">
        <v>832</v>
      </c>
      <c r="B213" s="6" t="s">
        <v>620</v>
      </c>
      <c r="C213" s="6" t="s">
        <v>256</v>
      </c>
      <c r="D213" s="7" t="s">
        <v>48</v>
      </c>
      <c r="E213" s="7" t="s">
        <v>49</v>
      </c>
      <c r="F213" s="7" t="s">
        <v>50</v>
      </c>
      <c r="G213" s="7" t="s">
        <v>29</v>
      </c>
      <c r="H213" s="7" t="s">
        <v>52</v>
      </c>
      <c r="I213" s="7" t="s">
        <v>52</v>
      </c>
      <c r="J213" s="7"/>
      <c r="K213" s="7"/>
      <c r="L213" s="7"/>
      <c r="M213" s="5" t="s">
        <v>59</v>
      </c>
      <c r="N213" s="5" t="s">
        <v>59</v>
      </c>
      <c r="O213" s="7" t="s">
        <v>54</v>
      </c>
    </row>
    <row r="214" spans="1:15" x14ac:dyDescent="0.35">
      <c r="A214" s="5" t="s">
        <v>854</v>
      </c>
      <c r="B214" s="6" t="s">
        <v>816</v>
      </c>
      <c r="C214" s="6" t="s">
        <v>452</v>
      </c>
      <c r="D214" s="6" t="s">
        <v>48</v>
      </c>
      <c r="E214" s="6" t="s">
        <v>49</v>
      </c>
      <c r="F214" s="6" t="s">
        <v>50</v>
      </c>
      <c r="G214" s="6" t="s">
        <v>5</v>
      </c>
      <c r="H214" s="6" t="s">
        <v>52</v>
      </c>
      <c r="I214" s="6" t="s">
        <v>52</v>
      </c>
      <c r="J214" s="6"/>
      <c r="K214" s="6"/>
      <c r="L214" s="6"/>
      <c r="M214" s="5" t="s">
        <v>69</v>
      </c>
      <c r="N214" s="5" t="s">
        <v>69</v>
      </c>
      <c r="O214" s="6" t="s">
        <v>54</v>
      </c>
    </row>
    <row r="215" spans="1:15" x14ac:dyDescent="0.35">
      <c r="A215" s="5" t="s">
        <v>893</v>
      </c>
      <c r="B215" s="7" t="s">
        <v>682</v>
      </c>
      <c r="C215" s="7" t="s">
        <v>318</v>
      </c>
      <c r="D215" s="7" t="s">
        <v>48</v>
      </c>
      <c r="E215" s="7" t="s">
        <v>49</v>
      </c>
      <c r="F215" s="7" t="s">
        <v>55</v>
      </c>
      <c r="G215" s="7" t="s">
        <v>21</v>
      </c>
      <c r="H215" s="7" t="s">
        <v>52</v>
      </c>
      <c r="I215" s="7" t="s">
        <v>52</v>
      </c>
      <c r="J215" s="7"/>
      <c r="K215" s="7"/>
      <c r="L215" s="7"/>
      <c r="M215" s="5" t="s">
        <v>67</v>
      </c>
      <c r="N215" s="5" t="s">
        <v>67</v>
      </c>
      <c r="O215" s="7" t="s">
        <v>54</v>
      </c>
    </row>
    <row r="216" spans="1:15" x14ac:dyDescent="0.35">
      <c r="A216" s="5" t="s">
        <v>917</v>
      </c>
      <c r="B216" s="6" t="s">
        <v>822</v>
      </c>
      <c r="C216" s="6" t="s">
        <v>458</v>
      </c>
      <c r="D216" s="6" t="s">
        <v>48</v>
      </c>
      <c r="E216" s="6" t="s">
        <v>49</v>
      </c>
      <c r="F216" s="6" t="s">
        <v>55</v>
      </c>
      <c r="G216" s="6" t="s">
        <v>0</v>
      </c>
      <c r="H216" s="6" t="s">
        <v>52</v>
      </c>
      <c r="I216" s="6" t="s">
        <v>52</v>
      </c>
      <c r="J216" s="6" t="s">
        <v>51</v>
      </c>
      <c r="K216" s="6" t="s">
        <v>51</v>
      </c>
      <c r="L216" s="6"/>
      <c r="M216" s="5" t="s">
        <v>75</v>
      </c>
      <c r="N216" s="5" t="s">
        <v>75</v>
      </c>
      <c r="O216" s="6" t="s">
        <v>54</v>
      </c>
    </row>
    <row r="217" spans="1:15" x14ac:dyDescent="0.35">
      <c r="A217" s="5" t="s">
        <v>842</v>
      </c>
      <c r="B217" s="7" t="s">
        <v>730</v>
      </c>
      <c r="C217" s="7" t="s">
        <v>366</v>
      </c>
      <c r="D217" s="7" t="s">
        <v>48</v>
      </c>
      <c r="E217" s="7" t="s">
        <v>49</v>
      </c>
      <c r="F217" s="7" t="s">
        <v>55</v>
      </c>
      <c r="G217" s="7" t="s">
        <v>9</v>
      </c>
      <c r="H217" s="7" t="s">
        <v>52</v>
      </c>
      <c r="I217" s="7" t="s">
        <v>81</v>
      </c>
      <c r="J217" s="7"/>
      <c r="K217" s="7"/>
      <c r="L217" s="7"/>
      <c r="M217" s="5" t="s">
        <v>57</v>
      </c>
      <c r="N217" s="5" t="s">
        <v>57</v>
      </c>
      <c r="O217" s="7" t="s">
        <v>54</v>
      </c>
    </row>
    <row r="218" spans="1:15" x14ac:dyDescent="0.35">
      <c r="A218" s="5" t="s">
        <v>862</v>
      </c>
      <c r="B218" s="6" t="s">
        <v>813</v>
      </c>
      <c r="C218" s="6" t="s">
        <v>449</v>
      </c>
      <c r="D218" s="7" t="s">
        <v>48</v>
      </c>
      <c r="E218" s="7" t="s">
        <v>49</v>
      </c>
      <c r="F218" s="7" t="s">
        <v>55</v>
      </c>
      <c r="G218" s="7" t="s">
        <v>9</v>
      </c>
      <c r="H218" s="7" t="s">
        <v>52</v>
      </c>
      <c r="I218" s="7" t="s">
        <v>52</v>
      </c>
      <c r="J218" s="7" t="s">
        <v>51</v>
      </c>
      <c r="K218" s="7" t="s">
        <v>58</v>
      </c>
      <c r="L218" s="7"/>
      <c r="M218" s="5" t="s">
        <v>67</v>
      </c>
      <c r="N218" s="5" t="s">
        <v>67</v>
      </c>
      <c r="O218" s="7" t="s">
        <v>54</v>
      </c>
    </row>
    <row r="219" spans="1:15" x14ac:dyDescent="0.35">
      <c r="A219" s="5" t="s">
        <v>851</v>
      </c>
      <c r="B219" s="6" t="s">
        <v>704</v>
      </c>
      <c r="C219" s="6" t="s">
        <v>340</v>
      </c>
      <c r="D219" s="6" t="s">
        <v>48</v>
      </c>
      <c r="E219" s="6" t="s">
        <v>49</v>
      </c>
      <c r="F219" s="6" t="s">
        <v>55</v>
      </c>
      <c r="G219" s="6" t="s">
        <v>0</v>
      </c>
      <c r="H219" s="6" t="s">
        <v>52</v>
      </c>
      <c r="I219" s="6" t="s">
        <v>52</v>
      </c>
      <c r="J219" s="6"/>
      <c r="K219" s="6"/>
      <c r="L219" s="6"/>
      <c r="M219" s="5" t="s">
        <v>67</v>
      </c>
      <c r="N219" s="5" t="s">
        <v>67</v>
      </c>
      <c r="O219" s="6" t="s">
        <v>54</v>
      </c>
    </row>
    <row r="220" spans="1:15" x14ac:dyDescent="0.35">
      <c r="A220" s="5" t="s">
        <v>918</v>
      </c>
      <c r="B220" s="6" t="s">
        <v>594</v>
      </c>
      <c r="C220" s="6" t="s">
        <v>230</v>
      </c>
      <c r="D220" s="7" t="s">
        <v>48</v>
      </c>
      <c r="E220" s="7" t="s">
        <v>49</v>
      </c>
      <c r="F220" s="7" t="s">
        <v>55</v>
      </c>
      <c r="G220" s="7" t="s">
        <v>18</v>
      </c>
      <c r="H220" s="7" t="s">
        <v>52</v>
      </c>
      <c r="I220" s="7" t="s">
        <v>60</v>
      </c>
      <c r="J220" s="7" t="s">
        <v>51</v>
      </c>
      <c r="K220" s="7"/>
      <c r="L220" s="7"/>
      <c r="M220" s="5" t="s">
        <v>66</v>
      </c>
      <c r="N220" s="5" t="s">
        <v>66</v>
      </c>
      <c r="O220" s="7" t="s">
        <v>54</v>
      </c>
    </row>
    <row r="221" spans="1:15" x14ac:dyDescent="0.35">
      <c r="A221" s="5" t="s">
        <v>845</v>
      </c>
      <c r="B221" s="6" t="s">
        <v>467</v>
      </c>
      <c r="C221" s="6" t="s">
        <v>103</v>
      </c>
      <c r="D221" s="6" t="s">
        <v>48</v>
      </c>
      <c r="E221" s="6" t="s">
        <v>49</v>
      </c>
      <c r="F221" s="6" t="s">
        <v>55</v>
      </c>
      <c r="G221" s="6" t="s">
        <v>30</v>
      </c>
      <c r="H221" s="6" t="s">
        <v>52</v>
      </c>
      <c r="I221" s="6" t="s">
        <v>52</v>
      </c>
      <c r="J221" s="6" t="s">
        <v>51</v>
      </c>
      <c r="K221" s="6"/>
      <c r="L221" s="6"/>
      <c r="M221" s="5" t="s">
        <v>57</v>
      </c>
      <c r="N221" s="5" t="s">
        <v>57</v>
      </c>
      <c r="O221" s="6" t="s">
        <v>54</v>
      </c>
    </row>
    <row r="222" spans="1:15" x14ac:dyDescent="0.35">
      <c r="A222" s="5" t="s">
        <v>898</v>
      </c>
      <c r="B222" s="7" t="s">
        <v>796</v>
      </c>
      <c r="C222" s="7" t="s">
        <v>432</v>
      </c>
      <c r="D222" s="6" t="s">
        <v>48</v>
      </c>
      <c r="E222" s="6" t="s">
        <v>49</v>
      </c>
      <c r="F222" s="6" t="s">
        <v>55</v>
      </c>
      <c r="G222" s="6" t="s">
        <v>9</v>
      </c>
      <c r="H222" s="6" t="s">
        <v>52</v>
      </c>
      <c r="I222" s="6" t="s">
        <v>52</v>
      </c>
      <c r="J222" s="6" t="s">
        <v>51</v>
      </c>
      <c r="K222" s="6"/>
      <c r="L222" s="6" t="s">
        <v>68</v>
      </c>
      <c r="M222" s="5" t="s">
        <v>61</v>
      </c>
      <c r="N222" s="5" t="s">
        <v>61</v>
      </c>
      <c r="O222" s="6" t="s">
        <v>54</v>
      </c>
    </row>
    <row r="223" spans="1:15" x14ac:dyDescent="0.35">
      <c r="A223" s="5" t="s">
        <v>830</v>
      </c>
      <c r="B223" s="6" t="s">
        <v>713</v>
      </c>
      <c r="C223" s="6" t="s">
        <v>349</v>
      </c>
      <c r="D223" s="6" t="s">
        <v>48</v>
      </c>
      <c r="E223" s="6" t="s">
        <v>49</v>
      </c>
      <c r="F223" s="6" t="s">
        <v>55</v>
      </c>
      <c r="G223" s="6" t="s">
        <v>5</v>
      </c>
      <c r="H223" s="6" t="s">
        <v>52</v>
      </c>
      <c r="I223" s="6" t="s">
        <v>52</v>
      </c>
      <c r="J223" s="6" t="s">
        <v>51</v>
      </c>
      <c r="K223" s="6"/>
      <c r="L223" s="6"/>
      <c r="M223" s="5" t="s">
        <v>56</v>
      </c>
      <c r="N223" s="5" t="s">
        <v>56</v>
      </c>
      <c r="O223" s="6" t="s">
        <v>54</v>
      </c>
    </row>
    <row r="224" spans="1:15" x14ac:dyDescent="0.35">
      <c r="A224" s="5" t="s">
        <v>863</v>
      </c>
      <c r="B224" s="6" t="s">
        <v>572</v>
      </c>
      <c r="C224" s="6" t="s">
        <v>208</v>
      </c>
      <c r="D224" s="6" t="s">
        <v>48</v>
      </c>
      <c r="E224" s="6" t="s">
        <v>49</v>
      </c>
      <c r="F224" s="6" t="s">
        <v>50</v>
      </c>
      <c r="G224" s="6" t="s">
        <v>26</v>
      </c>
      <c r="H224" s="6" t="s">
        <v>52</v>
      </c>
      <c r="I224" s="6" t="s">
        <v>64</v>
      </c>
      <c r="J224" s="6"/>
      <c r="K224" s="6"/>
      <c r="L224" s="6"/>
      <c r="M224" s="5" t="s">
        <v>56</v>
      </c>
      <c r="N224" s="5" t="s">
        <v>56</v>
      </c>
      <c r="O224" s="6" t="s">
        <v>54</v>
      </c>
    </row>
    <row r="225" spans="1:15" x14ac:dyDescent="0.35">
      <c r="A225" s="5" t="s">
        <v>870</v>
      </c>
      <c r="B225" s="6" t="s">
        <v>639</v>
      </c>
      <c r="C225" s="6" t="s">
        <v>275</v>
      </c>
      <c r="D225" s="7" t="s">
        <v>48</v>
      </c>
      <c r="E225" s="7" t="s">
        <v>49</v>
      </c>
      <c r="F225" s="7" t="s">
        <v>50</v>
      </c>
      <c r="G225" s="7" t="s">
        <v>9</v>
      </c>
      <c r="H225" s="7" t="s">
        <v>52</v>
      </c>
      <c r="I225" s="7" t="s">
        <v>52</v>
      </c>
      <c r="J225" s="7"/>
      <c r="K225" s="7"/>
      <c r="L225" s="7"/>
      <c r="M225" s="5" t="s">
        <v>67</v>
      </c>
      <c r="N225" s="5" t="s">
        <v>67</v>
      </c>
      <c r="O225" s="7" t="s">
        <v>54</v>
      </c>
    </row>
    <row r="226" spans="1:15" x14ac:dyDescent="0.35">
      <c r="A226" s="5" t="s">
        <v>877</v>
      </c>
      <c r="B226" s="6" t="s">
        <v>642</v>
      </c>
      <c r="C226" s="6" t="s">
        <v>278</v>
      </c>
      <c r="D226" s="6" t="s">
        <v>48</v>
      </c>
      <c r="E226" s="6" t="s">
        <v>49</v>
      </c>
      <c r="F226" s="6" t="s">
        <v>50</v>
      </c>
      <c r="G226" s="6" t="s">
        <v>5</v>
      </c>
      <c r="H226" s="6" t="s">
        <v>52</v>
      </c>
      <c r="I226" s="6" t="s">
        <v>52</v>
      </c>
      <c r="J226" s="6" t="s">
        <v>51</v>
      </c>
      <c r="K226" s="6" t="s">
        <v>51</v>
      </c>
      <c r="L226" s="6" t="s">
        <v>76</v>
      </c>
      <c r="M226" s="5" t="s">
        <v>63</v>
      </c>
      <c r="N226" s="5" t="s">
        <v>63</v>
      </c>
      <c r="O226" s="6" t="s">
        <v>54</v>
      </c>
    </row>
    <row r="227" spans="1:15" x14ac:dyDescent="0.35">
      <c r="A227" s="5" t="s">
        <v>849</v>
      </c>
      <c r="B227" s="7" t="s">
        <v>538</v>
      </c>
      <c r="C227" s="7" t="s">
        <v>174</v>
      </c>
      <c r="D227" s="6" t="s">
        <v>48</v>
      </c>
      <c r="E227" s="6" t="s">
        <v>49</v>
      </c>
      <c r="F227" s="6" t="s">
        <v>55</v>
      </c>
      <c r="G227" s="6" t="s">
        <v>5</v>
      </c>
      <c r="H227" s="6" t="s">
        <v>52</v>
      </c>
      <c r="I227" s="6" t="s">
        <v>52</v>
      </c>
      <c r="J227" s="6"/>
      <c r="K227" s="6"/>
      <c r="L227" s="6"/>
      <c r="M227" s="5" t="s">
        <v>59</v>
      </c>
      <c r="N227" s="5" t="s">
        <v>59</v>
      </c>
      <c r="O227" s="6" t="s">
        <v>54</v>
      </c>
    </row>
    <row r="228" spans="1:15" x14ac:dyDescent="0.35">
      <c r="A228" s="5" t="s">
        <v>919</v>
      </c>
      <c r="B228" s="6" t="s">
        <v>731</v>
      </c>
      <c r="C228" s="6" t="s">
        <v>367</v>
      </c>
      <c r="D228" s="6" t="s">
        <v>48</v>
      </c>
      <c r="E228" s="6" t="s">
        <v>49</v>
      </c>
      <c r="F228" s="6" t="s">
        <v>50</v>
      </c>
      <c r="G228" s="6" t="s">
        <v>5</v>
      </c>
      <c r="H228" s="6" t="s">
        <v>51</v>
      </c>
      <c r="I228" s="6" t="s">
        <v>52</v>
      </c>
      <c r="J228" s="6" t="s">
        <v>51</v>
      </c>
      <c r="K228" s="6" t="s">
        <v>51</v>
      </c>
      <c r="L228" s="6"/>
      <c r="M228" s="5" t="s">
        <v>59</v>
      </c>
      <c r="N228" s="5" t="s">
        <v>59</v>
      </c>
      <c r="O228" s="6" t="s">
        <v>54</v>
      </c>
    </row>
    <row r="229" spans="1:15" x14ac:dyDescent="0.35">
      <c r="A229" s="5" t="s">
        <v>920</v>
      </c>
      <c r="B229" s="7" t="s">
        <v>733</v>
      </c>
      <c r="C229" s="7" t="s">
        <v>369</v>
      </c>
      <c r="D229" s="6" t="s">
        <v>48</v>
      </c>
      <c r="E229" s="6" t="s">
        <v>49</v>
      </c>
      <c r="F229" s="6" t="s">
        <v>50</v>
      </c>
      <c r="G229" s="6" t="s">
        <v>9</v>
      </c>
      <c r="H229" s="6" t="s">
        <v>52</v>
      </c>
      <c r="I229" s="6" t="s">
        <v>60</v>
      </c>
      <c r="J229" s="6"/>
      <c r="K229" s="6"/>
      <c r="L229" s="6"/>
      <c r="M229" s="5" t="s">
        <v>90</v>
      </c>
      <c r="N229" s="5" t="s">
        <v>90</v>
      </c>
      <c r="O229" s="6" t="s">
        <v>54</v>
      </c>
    </row>
    <row r="230" spans="1:15" x14ac:dyDescent="0.35">
      <c r="A230" s="5" t="s">
        <v>872</v>
      </c>
      <c r="B230" s="7" t="s">
        <v>622</v>
      </c>
      <c r="C230" s="7" t="s">
        <v>258</v>
      </c>
      <c r="D230" s="7" t="s">
        <v>48</v>
      </c>
      <c r="E230" s="7" t="s">
        <v>49</v>
      </c>
      <c r="F230" s="7" t="s">
        <v>55</v>
      </c>
      <c r="G230" s="7" t="s">
        <v>1</v>
      </c>
      <c r="H230" s="7" t="s">
        <v>52</v>
      </c>
      <c r="I230" s="7" t="s">
        <v>52</v>
      </c>
      <c r="J230" s="7"/>
      <c r="K230" s="7"/>
      <c r="L230" s="7"/>
      <c r="M230" s="5" t="s">
        <v>57</v>
      </c>
      <c r="N230" s="5" t="s">
        <v>57</v>
      </c>
      <c r="O230" s="7" t="s">
        <v>54</v>
      </c>
    </row>
    <row r="231" spans="1:15" x14ac:dyDescent="0.35">
      <c r="A231" s="5" t="s">
        <v>921</v>
      </c>
      <c r="B231" s="6" t="s">
        <v>614</v>
      </c>
      <c r="C231" s="6" t="s">
        <v>250</v>
      </c>
      <c r="D231" s="7" t="s">
        <v>48</v>
      </c>
      <c r="E231" s="7" t="s">
        <v>49</v>
      </c>
      <c r="F231" s="7" t="s">
        <v>55</v>
      </c>
      <c r="G231" s="7" t="s">
        <v>2</v>
      </c>
      <c r="H231" s="7" t="s">
        <v>52</v>
      </c>
      <c r="I231" s="7" t="s">
        <v>52</v>
      </c>
      <c r="J231" s="7" t="s">
        <v>51</v>
      </c>
      <c r="K231" s="7"/>
      <c r="L231" s="7"/>
      <c r="M231" s="5" t="s">
        <v>85</v>
      </c>
      <c r="N231" s="5" t="s">
        <v>85</v>
      </c>
      <c r="O231" s="7" t="s">
        <v>54</v>
      </c>
    </row>
    <row r="232" spans="1:15" x14ac:dyDescent="0.35">
      <c r="A232" s="5" t="s">
        <v>875</v>
      </c>
      <c r="B232" s="7" t="s">
        <v>634</v>
      </c>
      <c r="C232" s="7" t="s">
        <v>270</v>
      </c>
      <c r="D232" s="6" t="s">
        <v>48</v>
      </c>
      <c r="E232" s="6" t="s">
        <v>49</v>
      </c>
      <c r="F232" s="6" t="s">
        <v>50</v>
      </c>
      <c r="G232" s="6" t="s">
        <v>5</v>
      </c>
      <c r="H232" s="6" t="s">
        <v>52</v>
      </c>
      <c r="I232" s="6" t="s">
        <v>52</v>
      </c>
      <c r="J232" s="6"/>
      <c r="K232" s="6"/>
      <c r="L232" s="6"/>
      <c r="M232" s="5" t="s">
        <v>67</v>
      </c>
      <c r="N232" s="5" t="s">
        <v>67</v>
      </c>
      <c r="O232" s="6" t="s">
        <v>54</v>
      </c>
    </row>
    <row r="233" spans="1:15" x14ac:dyDescent="0.35">
      <c r="A233" s="5" t="s">
        <v>850</v>
      </c>
      <c r="B233" s="6" t="s">
        <v>717</v>
      </c>
      <c r="C233" s="6" t="s">
        <v>353</v>
      </c>
      <c r="D233" s="6" t="s">
        <v>48</v>
      </c>
      <c r="E233" s="6" t="s">
        <v>49</v>
      </c>
      <c r="F233" s="6" t="s">
        <v>50</v>
      </c>
      <c r="G233" s="6" t="s">
        <v>5</v>
      </c>
      <c r="H233" s="6" t="s">
        <v>52</v>
      </c>
      <c r="I233" s="6" t="s">
        <v>52</v>
      </c>
      <c r="J233" s="6"/>
      <c r="K233" s="6"/>
      <c r="L233" s="6"/>
      <c r="M233" s="5" t="s">
        <v>57</v>
      </c>
      <c r="N233" s="5" t="s">
        <v>57</v>
      </c>
      <c r="O233" s="6" t="s">
        <v>54</v>
      </c>
    </row>
    <row r="234" spans="1:15" x14ac:dyDescent="0.35">
      <c r="A234" s="5" t="s">
        <v>889</v>
      </c>
      <c r="B234" s="6" t="s">
        <v>524</v>
      </c>
      <c r="C234" s="6" t="s">
        <v>160</v>
      </c>
      <c r="D234" s="6" t="s">
        <v>48</v>
      </c>
      <c r="E234" s="6" t="s">
        <v>49</v>
      </c>
      <c r="F234" s="6" t="s">
        <v>55</v>
      </c>
      <c r="G234" s="6" t="s">
        <v>7</v>
      </c>
      <c r="H234" s="6" t="s">
        <v>51</v>
      </c>
      <c r="I234" s="6" t="s">
        <v>52</v>
      </c>
      <c r="J234" s="6" t="s">
        <v>51</v>
      </c>
      <c r="K234" s="6" t="s">
        <v>51</v>
      </c>
      <c r="L234" s="6"/>
      <c r="M234" s="5" t="s">
        <v>59</v>
      </c>
      <c r="N234" s="5" t="s">
        <v>59</v>
      </c>
      <c r="O234" s="6" t="s">
        <v>54</v>
      </c>
    </row>
    <row r="235" spans="1:15" x14ac:dyDescent="0.35">
      <c r="A235" s="5" t="s">
        <v>843</v>
      </c>
      <c r="B235" s="6" t="s">
        <v>720</v>
      </c>
      <c r="C235" s="6" t="s">
        <v>356</v>
      </c>
      <c r="D235" s="7" t="s">
        <v>48</v>
      </c>
      <c r="E235" s="7" t="s">
        <v>49</v>
      </c>
      <c r="F235" s="7" t="s">
        <v>50</v>
      </c>
      <c r="G235" s="7" t="s">
        <v>5</v>
      </c>
      <c r="H235" s="7" t="s">
        <v>51</v>
      </c>
      <c r="I235" s="7" t="s">
        <v>52</v>
      </c>
      <c r="J235" s="7" t="s">
        <v>51</v>
      </c>
      <c r="K235" s="7" t="s">
        <v>51</v>
      </c>
      <c r="L235" s="7"/>
      <c r="M235" s="5" t="s">
        <v>67</v>
      </c>
      <c r="N235" s="5" t="s">
        <v>67</v>
      </c>
      <c r="O235" s="7" t="s">
        <v>54</v>
      </c>
    </row>
    <row r="236" spans="1:15" x14ac:dyDescent="0.35">
      <c r="A236" s="5" t="s">
        <v>876</v>
      </c>
      <c r="B236" s="6" t="s">
        <v>549</v>
      </c>
      <c r="C236" s="6" t="s">
        <v>185</v>
      </c>
      <c r="D236" s="7" t="s">
        <v>48</v>
      </c>
      <c r="E236" s="7" t="s">
        <v>49</v>
      </c>
      <c r="F236" s="7" t="s">
        <v>55</v>
      </c>
      <c r="G236" s="7" t="s">
        <v>5</v>
      </c>
      <c r="H236" s="7" t="s">
        <v>52</v>
      </c>
      <c r="I236" s="7" t="s">
        <v>52</v>
      </c>
      <c r="J236" s="7"/>
      <c r="K236" s="7"/>
      <c r="L236" s="7"/>
      <c r="M236" s="5" t="s">
        <v>63</v>
      </c>
      <c r="N236" s="5" t="s">
        <v>63</v>
      </c>
      <c r="O236" s="7" t="s">
        <v>54</v>
      </c>
    </row>
    <row r="237" spans="1:15" x14ac:dyDescent="0.35">
      <c r="A237" s="5" t="s">
        <v>850</v>
      </c>
      <c r="B237" s="7" t="s">
        <v>523</v>
      </c>
      <c r="C237" s="7" t="s">
        <v>159</v>
      </c>
      <c r="D237" s="7" t="s">
        <v>48</v>
      </c>
      <c r="E237" s="7" t="s">
        <v>49</v>
      </c>
      <c r="F237" s="7" t="s">
        <v>50</v>
      </c>
      <c r="G237" s="7" t="s">
        <v>26</v>
      </c>
      <c r="H237" s="7" t="s">
        <v>51</v>
      </c>
      <c r="I237" s="7" t="s">
        <v>52</v>
      </c>
      <c r="J237" s="7"/>
      <c r="K237" s="7"/>
      <c r="L237" s="7"/>
      <c r="M237" s="5" t="s">
        <v>57</v>
      </c>
      <c r="N237" s="5" t="s">
        <v>57</v>
      </c>
      <c r="O237" s="7" t="s">
        <v>54</v>
      </c>
    </row>
    <row r="238" spans="1:15" x14ac:dyDescent="0.35">
      <c r="A238" s="5" t="s">
        <v>877</v>
      </c>
      <c r="B238" s="6" t="s">
        <v>542</v>
      </c>
      <c r="C238" s="6" t="s">
        <v>178</v>
      </c>
      <c r="D238" s="6" t="s">
        <v>48</v>
      </c>
      <c r="E238" s="6" t="s">
        <v>49</v>
      </c>
      <c r="F238" s="6" t="s">
        <v>50</v>
      </c>
      <c r="G238" s="6" t="s">
        <v>10</v>
      </c>
      <c r="H238" s="6" t="s">
        <v>52</v>
      </c>
      <c r="I238" s="6" t="s">
        <v>60</v>
      </c>
      <c r="J238" s="6"/>
      <c r="K238" s="6"/>
      <c r="L238" s="6"/>
      <c r="M238" s="5" t="s">
        <v>63</v>
      </c>
      <c r="N238" s="5" t="s">
        <v>63</v>
      </c>
      <c r="O238" s="6" t="s">
        <v>54</v>
      </c>
    </row>
    <row r="239" spans="1:15" x14ac:dyDescent="0.35">
      <c r="A239" s="5" t="s">
        <v>845</v>
      </c>
      <c r="B239" s="6" t="s">
        <v>603</v>
      </c>
      <c r="C239" s="6" t="s">
        <v>239</v>
      </c>
      <c r="D239" s="6" t="s">
        <v>48</v>
      </c>
      <c r="E239" s="6" t="s">
        <v>49</v>
      </c>
      <c r="F239" s="6" t="s">
        <v>55</v>
      </c>
      <c r="G239" s="6" t="s">
        <v>10</v>
      </c>
      <c r="H239" s="6" t="s">
        <v>52</v>
      </c>
      <c r="I239" s="6" t="s">
        <v>52</v>
      </c>
      <c r="J239" s="6"/>
      <c r="K239" s="6"/>
      <c r="L239" s="6"/>
      <c r="M239" s="5" t="s">
        <v>57</v>
      </c>
      <c r="N239" s="5" t="s">
        <v>57</v>
      </c>
      <c r="O239" s="6" t="s">
        <v>54</v>
      </c>
    </row>
    <row r="240" spans="1:15" x14ac:dyDescent="0.35">
      <c r="A240" s="5" t="s">
        <v>873</v>
      </c>
      <c r="B240" s="7" t="s">
        <v>520</v>
      </c>
      <c r="C240" s="7" t="s">
        <v>156</v>
      </c>
      <c r="D240" s="6" t="s">
        <v>48</v>
      </c>
      <c r="E240" s="6" t="s">
        <v>49</v>
      </c>
      <c r="F240" s="6" t="s">
        <v>50</v>
      </c>
      <c r="G240" s="6" t="s">
        <v>26</v>
      </c>
      <c r="H240" s="6" t="s">
        <v>52</v>
      </c>
      <c r="I240" s="6" t="s">
        <v>64</v>
      </c>
      <c r="J240" s="6" t="s">
        <v>51</v>
      </c>
      <c r="K240" s="6"/>
      <c r="L240" s="6"/>
      <c r="M240" s="5" t="s">
        <v>57</v>
      </c>
      <c r="N240" s="5" t="s">
        <v>57</v>
      </c>
      <c r="O240" s="6" t="s">
        <v>54</v>
      </c>
    </row>
    <row r="241" spans="1:15" x14ac:dyDescent="0.35">
      <c r="A241" s="5" t="s">
        <v>834</v>
      </c>
      <c r="B241" s="7" t="s">
        <v>466</v>
      </c>
      <c r="C241" s="7" t="s">
        <v>102</v>
      </c>
      <c r="D241" s="7" t="s">
        <v>48</v>
      </c>
      <c r="E241" s="7" t="s">
        <v>49</v>
      </c>
      <c r="F241" s="7" t="s">
        <v>55</v>
      </c>
      <c r="G241" s="7" t="s">
        <v>18</v>
      </c>
      <c r="H241" s="7" t="s">
        <v>51</v>
      </c>
      <c r="I241" s="7" t="s">
        <v>52</v>
      </c>
      <c r="J241" s="7"/>
      <c r="K241" s="7"/>
      <c r="L241" s="7"/>
      <c r="M241" s="5" t="s">
        <v>56</v>
      </c>
      <c r="N241" s="5" t="s">
        <v>56</v>
      </c>
      <c r="O241" s="7" t="s">
        <v>54</v>
      </c>
    </row>
    <row r="242" spans="1:15" x14ac:dyDescent="0.35">
      <c r="A242" s="5" t="s">
        <v>881</v>
      </c>
      <c r="B242" s="6" t="s">
        <v>719</v>
      </c>
      <c r="C242" s="6" t="s">
        <v>355</v>
      </c>
      <c r="D242" s="6" t="s">
        <v>48</v>
      </c>
      <c r="E242" s="6" t="s">
        <v>49</v>
      </c>
      <c r="F242" s="6" t="s">
        <v>50</v>
      </c>
      <c r="G242" s="6" t="s">
        <v>5</v>
      </c>
      <c r="H242" s="6" t="s">
        <v>52</v>
      </c>
      <c r="I242" s="6" t="s">
        <v>60</v>
      </c>
      <c r="J242" s="6" t="s">
        <v>51</v>
      </c>
      <c r="K242" s="6"/>
      <c r="L242" s="6"/>
      <c r="M242" s="5" t="s">
        <v>67</v>
      </c>
      <c r="N242" s="5" t="s">
        <v>67</v>
      </c>
      <c r="O242" s="6" t="s">
        <v>54</v>
      </c>
    </row>
    <row r="243" spans="1:15" x14ac:dyDescent="0.35">
      <c r="A243" s="5" t="s">
        <v>893</v>
      </c>
      <c r="B243" s="7" t="s">
        <v>787</v>
      </c>
      <c r="C243" s="7" t="s">
        <v>423</v>
      </c>
      <c r="D243" s="7" t="s">
        <v>48</v>
      </c>
      <c r="E243" s="7" t="s">
        <v>49</v>
      </c>
      <c r="F243" s="7" t="s">
        <v>55</v>
      </c>
      <c r="G243" s="7" t="s">
        <v>8</v>
      </c>
      <c r="H243" s="7" t="s">
        <v>52</v>
      </c>
      <c r="I243" s="7" t="s">
        <v>52</v>
      </c>
      <c r="J243" s="7" t="s">
        <v>51</v>
      </c>
      <c r="K243" s="7"/>
      <c r="L243" s="7"/>
      <c r="M243" s="5" t="s">
        <v>67</v>
      </c>
      <c r="N243" s="5" t="s">
        <v>67</v>
      </c>
      <c r="O243" s="7" t="s">
        <v>54</v>
      </c>
    </row>
    <row r="244" spans="1:15" x14ac:dyDescent="0.35">
      <c r="A244" s="5" t="s">
        <v>864</v>
      </c>
      <c r="B244" s="6" t="s">
        <v>617</v>
      </c>
      <c r="C244" s="6" t="s">
        <v>253</v>
      </c>
      <c r="D244" s="6" t="s">
        <v>48</v>
      </c>
      <c r="E244" s="6" t="s">
        <v>49</v>
      </c>
      <c r="F244" s="6" t="s">
        <v>50</v>
      </c>
      <c r="G244" s="6" t="s">
        <v>26</v>
      </c>
      <c r="H244" s="6" t="s">
        <v>51</v>
      </c>
      <c r="I244" s="6" t="s">
        <v>52</v>
      </c>
      <c r="J244" s="6" t="s">
        <v>51</v>
      </c>
      <c r="K244" s="6" t="s">
        <v>51</v>
      </c>
      <c r="L244" s="6"/>
      <c r="M244" s="5" t="s">
        <v>57</v>
      </c>
      <c r="N244" s="5" t="s">
        <v>57</v>
      </c>
      <c r="O244" s="6" t="s">
        <v>54</v>
      </c>
    </row>
    <row r="245" spans="1:15" x14ac:dyDescent="0.35">
      <c r="A245" s="5" t="s">
        <v>881</v>
      </c>
      <c r="B245" s="6" t="s">
        <v>702</v>
      </c>
      <c r="C245" s="6" t="s">
        <v>338</v>
      </c>
      <c r="D245" s="6" t="s">
        <v>48</v>
      </c>
      <c r="E245" s="6" t="s">
        <v>49</v>
      </c>
      <c r="F245" s="6" t="s">
        <v>50</v>
      </c>
      <c r="G245" s="6" t="s">
        <v>26</v>
      </c>
      <c r="H245" s="6" t="s">
        <v>52</v>
      </c>
      <c r="I245" s="6" t="s">
        <v>64</v>
      </c>
      <c r="J245" s="6"/>
      <c r="K245" s="6"/>
      <c r="L245" s="6"/>
      <c r="M245" s="5" t="s">
        <v>67</v>
      </c>
      <c r="N245" s="5" t="s">
        <v>67</v>
      </c>
      <c r="O245" s="6" t="s">
        <v>54</v>
      </c>
    </row>
    <row r="246" spans="1:15" x14ac:dyDescent="0.35">
      <c r="A246" s="5" t="s">
        <v>922</v>
      </c>
      <c r="B246" s="6" t="s">
        <v>533</v>
      </c>
      <c r="C246" s="6" t="s">
        <v>169</v>
      </c>
      <c r="D246" s="7" t="s">
        <v>48</v>
      </c>
      <c r="E246" s="7" t="s">
        <v>49</v>
      </c>
      <c r="F246" s="7" t="s">
        <v>50</v>
      </c>
      <c r="G246" s="7" t="s">
        <v>0</v>
      </c>
      <c r="H246" s="7" t="s">
        <v>52</v>
      </c>
      <c r="I246" s="7" t="s">
        <v>52</v>
      </c>
      <c r="J246" s="7" t="s">
        <v>51</v>
      </c>
      <c r="K246" s="7" t="s">
        <v>51</v>
      </c>
      <c r="L246" s="7"/>
      <c r="M246" s="5" t="s">
        <v>71</v>
      </c>
      <c r="N246" s="5" t="s">
        <v>71</v>
      </c>
      <c r="O246" s="7" t="s">
        <v>54</v>
      </c>
    </row>
    <row r="247" spans="1:15" x14ac:dyDescent="0.35">
      <c r="A247" s="5" t="s">
        <v>923</v>
      </c>
      <c r="B247" s="6" t="s">
        <v>824</v>
      </c>
      <c r="C247" s="6" t="s">
        <v>460</v>
      </c>
      <c r="D247" s="6" t="s">
        <v>48</v>
      </c>
      <c r="E247" s="6" t="s">
        <v>49</v>
      </c>
      <c r="F247" s="6" t="s">
        <v>55</v>
      </c>
      <c r="G247" s="6" t="s">
        <v>26</v>
      </c>
      <c r="H247" s="6" t="s">
        <v>52</v>
      </c>
      <c r="I247" s="6" t="s">
        <v>52</v>
      </c>
      <c r="J247" s="6" t="s">
        <v>51</v>
      </c>
      <c r="K247" s="6" t="s">
        <v>51</v>
      </c>
      <c r="L247" s="6"/>
      <c r="M247" s="5" t="s">
        <v>53</v>
      </c>
      <c r="N247" s="5" t="s">
        <v>53</v>
      </c>
      <c r="O247" s="6" t="s">
        <v>54</v>
      </c>
    </row>
    <row r="248" spans="1:15" x14ac:dyDescent="0.35">
      <c r="A248" s="5" t="s">
        <v>924</v>
      </c>
      <c r="B248" s="7" t="s">
        <v>775</v>
      </c>
      <c r="C248" s="7" t="s">
        <v>411</v>
      </c>
      <c r="D248" s="6" t="s">
        <v>48</v>
      </c>
      <c r="E248" s="6" t="s">
        <v>49</v>
      </c>
      <c r="F248" s="6" t="s">
        <v>50</v>
      </c>
      <c r="G248" s="6" t="s">
        <v>5</v>
      </c>
      <c r="H248" s="6" t="s">
        <v>52</v>
      </c>
      <c r="I248" s="6" t="s">
        <v>52</v>
      </c>
      <c r="J248" s="6" t="s">
        <v>51</v>
      </c>
      <c r="K248" s="6" t="s">
        <v>51</v>
      </c>
      <c r="L248" s="6"/>
      <c r="M248" s="5" t="s">
        <v>84</v>
      </c>
      <c r="N248" s="5" t="s">
        <v>84</v>
      </c>
      <c r="O248" s="6" t="s">
        <v>54</v>
      </c>
    </row>
    <row r="249" spans="1:15" x14ac:dyDescent="0.35">
      <c r="A249" s="5" t="s">
        <v>836</v>
      </c>
      <c r="B249" s="6" t="s">
        <v>684</v>
      </c>
      <c r="C249" s="6" t="s">
        <v>320</v>
      </c>
      <c r="D249" s="7" t="s">
        <v>48</v>
      </c>
      <c r="E249" s="7" t="s">
        <v>49</v>
      </c>
      <c r="F249" s="7" t="s">
        <v>50</v>
      </c>
      <c r="G249" s="7" t="s">
        <v>9</v>
      </c>
      <c r="H249" s="7" t="s">
        <v>52</v>
      </c>
      <c r="I249" s="7" t="s">
        <v>60</v>
      </c>
      <c r="J249" s="7" t="s">
        <v>51</v>
      </c>
      <c r="K249" s="7" t="s">
        <v>51</v>
      </c>
      <c r="L249" s="7"/>
      <c r="M249" s="5" t="s">
        <v>63</v>
      </c>
      <c r="N249" s="5" t="s">
        <v>63</v>
      </c>
      <c r="O249" s="6" t="s">
        <v>54</v>
      </c>
    </row>
    <row r="250" spans="1:15" x14ac:dyDescent="0.35">
      <c r="A250" s="5" t="s">
        <v>875</v>
      </c>
      <c r="B250" s="7" t="s">
        <v>673</v>
      </c>
      <c r="C250" s="7" t="s">
        <v>309</v>
      </c>
      <c r="D250" s="6" t="s">
        <v>48</v>
      </c>
      <c r="E250" s="6" t="s">
        <v>49</v>
      </c>
      <c r="F250" s="6" t="s">
        <v>50</v>
      </c>
      <c r="G250" s="6" t="s">
        <v>5</v>
      </c>
      <c r="H250" s="6" t="s">
        <v>52</v>
      </c>
      <c r="I250" s="6" t="s">
        <v>52</v>
      </c>
      <c r="J250" s="6"/>
      <c r="K250" s="6"/>
      <c r="L250" s="6"/>
      <c r="M250" s="5" t="s">
        <v>67</v>
      </c>
      <c r="N250" s="5" t="s">
        <v>67</v>
      </c>
      <c r="O250" s="6" t="s">
        <v>54</v>
      </c>
    </row>
    <row r="251" spans="1:15" x14ac:dyDescent="0.35">
      <c r="A251" s="5" t="s">
        <v>843</v>
      </c>
      <c r="B251" s="6" t="s">
        <v>686</v>
      </c>
      <c r="C251" s="6" t="s">
        <v>322</v>
      </c>
      <c r="D251" s="6" t="s">
        <v>48</v>
      </c>
      <c r="E251" s="6" t="s">
        <v>49</v>
      </c>
      <c r="F251" s="6" t="s">
        <v>50</v>
      </c>
      <c r="G251" s="6" t="s">
        <v>29</v>
      </c>
      <c r="H251" s="6" t="s">
        <v>52</v>
      </c>
      <c r="I251" s="6" t="s">
        <v>52</v>
      </c>
      <c r="J251" s="6"/>
      <c r="K251" s="6"/>
      <c r="L251" s="6"/>
      <c r="M251" s="5" t="s">
        <v>67</v>
      </c>
      <c r="N251" s="5" t="s">
        <v>67</v>
      </c>
      <c r="O251" s="6" t="s">
        <v>54</v>
      </c>
    </row>
    <row r="252" spans="1:15" x14ac:dyDescent="0.35">
      <c r="A252" s="5" t="s">
        <v>925</v>
      </c>
      <c r="B252" s="6" t="s">
        <v>650</v>
      </c>
      <c r="C252" s="6" t="s">
        <v>286</v>
      </c>
      <c r="D252" s="6" t="s">
        <v>48</v>
      </c>
      <c r="E252" s="6" t="s">
        <v>49</v>
      </c>
      <c r="F252" s="6" t="s">
        <v>55</v>
      </c>
      <c r="G252" s="6" t="s">
        <v>9</v>
      </c>
      <c r="H252" s="6" t="s">
        <v>52</v>
      </c>
      <c r="I252" s="6" t="s">
        <v>60</v>
      </c>
      <c r="J252" s="6"/>
      <c r="K252" s="6"/>
      <c r="L252" s="6"/>
      <c r="M252" s="5" t="s">
        <v>71</v>
      </c>
      <c r="N252" s="5" t="s">
        <v>71</v>
      </c>
      <c r="O252" s="6" t="s">
        <v>54</v>
      </c>
    </row>
    <row r="253" spans="1:15" x14ac:dyDescent="0.35">
      <c r="A253" s="5" t="s">
        <v>924</v>
      </c>
      <c r="B253" s="6" t="s">
        <v>608</v>
      </c>
      <c r="C253" s="6" t="s">
        <v>244</v>
      </c>
      <c r="D253" s="7" t="s">
        <v>48</v>
      </c>
      <c r="E253" s="7" t="s">
        <v>49</v>
      </c>
      <c r="F253" s="7" t="s">
        <v>50</v>
      </c>
      <c r="G253" s="7" t="s">
        <v>26</v>
      </c>
      <c r="H253" s="7" t="s">
        <v>51</v>
      </c>
      <c r="I253" s="7" t="s">
        <v>52</v>
      </c>
      <c r="J253" s="7" t="s">
        <v>51</v>
      </c>
      <c r="K253" s="7"/>
      <c r="L253" s="7"/>
      <c r="M253" s="5" t="s">
        <v>84</v>
      </c>
      <c r="N253" s="5" t="s">
        <v>84</v>
      </c>
      <c r="O253" s="7" t="s">
        <v>54</v>
      </c>
    </row>
    <row r="254" spans="1:15" x14ac:dyDescent="0.35">
      <c r="A254" s="5" t="s">
        <v>869</v>
      </c>
      <c r="B254" s="6" t="s">
        <v>497</v>
      </c>
      <c r="C254" s="6" t="s">
        <v>133</v>
      </c>
      <c r="D254" s="6" t="s">
        <v>48</v>
      </c>
      <c r="E254" s="6" t="s">
        <v>49</v>
      </c>
      <c r="F254" s="6" t="s">
        <v>55</v>
      </c>
      <c r="G254" s="6" t="s">
        <v>5</v>
      </c>
      <c r="H254" s="6" t="s">
        <v>52</v>
      </c>
      <c r="I254" s="6" t="s">
        <v>52</v>
      </c>
      <c r="J254" s="6" t="s">
        <v>51</v>
      </c>
      <c r="K254" s="6" t="s">
        <v>51</v>
      </c>
      <c r="L254" s="6"/>
      <c r="M254" s="5" t="s">
        <v>66</v>
      </c>
      <c r="N254" s="5" t="s">
        <v>66</v>
      </c>
      <c r="O254" s="6" t="s">
        <v>54</v>
      </c>
    </row>
    <row r="255" spans="1:15" x14ac:dyDescent="0.35">
      <c r="A255" s="5" t="s">
        <v>829</v>
      </c>
      <c r="B255" s="7" t="s">
        <v>511</v>
      </c>
      <c r="C255" s="7" t="s">
        <v>147</v>
      </c>
      <c r="D255" s="6" t="s">
        <v>48</v>
      </c>
      <c r="E255" s="6" t="s">
        <v>49</v>
      </c>
      <c r="F255" s="6" t="s">
        <v>55</v>
      </c>
      <c r="G255" s="6" t="s">
        <v>14</v>
      </c>
      <c r="H255" s="6" t="s">
        <v>52</v>
      </c>
      <c r="I255" s="6" t="s">
        <v>52</v>
      </c>
      <c r="J255" s="6"/>
      <c r="K255" s="6"/>
      <c r="L255" s="6"/>
      <c r="M255" s="5" t="s">
        <v>56</v>
      </c>
      <c r="N255" s="5" t="s">
        <v>56</v>
      </c>
      <c r="O255" s="6" t="s">
        <v>54</v>
      </c>
    </row>
    <row r="256" spans="1:15" x14ac:dyDescent="0.35">
      <c r="A256" s="5" t="s">
        <v>904</v>
      </c>
      <c r="B256" s="7" t="s">
        <v>532</v>
      </c>
      <c r="C256" s="7" t="s">
        <v>168</v>
      </c>
      <c r="D256" s="6" t="s">
        <v>48</v>
      </c>
      <c r="E256" s="6" t="s">
        <v>49</v>
      </c>
      <c r="F256" s="6" t="s">
        <v>55</v>
      </c>
      <c r="G256" s="6" t="s">
        <v>0</v>
      </c>
      <c r="H256" s="6" t="s">
        <v>52</v>
      </c>
      <c r="I256" s="6" t="s">
        <v>52</v>
      </c>
      <c r="J256" s="6"/>
      <c r="K256" s="6"/>
      <c r="L256" s="6"/>
      <c r="M256" s="5" t="s">
        <v>57</v>
      </c>
      <c r="N256" s="5" t="s">
        <v>57</v>
      </c>
      <c r="O256" s="6" t="s">
        <v>54</v>
      </c>
    </row>
    <row r="257" spans="1:15" x14ac:dyDescent="0.35">
      <c r="A257" s="5" t="s">
        <v>860</v>
      </c>
      <c r="B257" s="7" t="s">
        <v>646</v>
      </c>
      <c r="C257" s="7" t="s">
        <v>282</v>
      </c>
      <c r="D257" s="6" t="s">
        <v>48</v>
      </c>
      <c r="E257" s="6" t="s">
        <v>49</v>
      </c>
      <c r="F257" s="6" t="s">
        <v>55</v>
      </c>
      <c r="G257" s="6" t="s">
        <v>26</v>
      </c>
      <c r="H257" s="6" t="s">
        <v>52</v>
      </c>
      <c r="I257" s="6" t="s">
        <v>52</v>
      </c>
      <c r="J257" s="6"/>
      <c r="K257" s="6"/>
      <c r="L257" s="6"/>
      <c r="M257" s="5" t="s">
        <v>63</v>
      </c>
      <c r="N257" s="5" t="s">
        <v>63</v>
      </c>
      <c r="O257" s="6" t="s">
        <v>54</v>
      </c>
    </row>
    <row r="258" spans="1:15" x14ac:dyDescent="0.35">
      <c r="A258" s="5" t="s">
        <v>881</v>
      </c>
      <c r="B258" s="6" t="s">
        <v>636</v>
      </c>
      <c r="C258" s="6" t="s">
        <v>272</v>
      </c>
      <c r="D258" s="6" t="s">
        <v>48</v>
      </c>
      <c r="E258" s="6" t="s">
        <v>49</v>
      </c>
      <c r="F258" s="6" t="s">
        <v>50</v>
      </c>
      <c r="G258" s="6" t="s">
        <v>9</v>
      </c>
      <c r="H258" s="6" t="s">
        <v>52</v>
      </c>
      <c r="I258" s="6" t="s">
        <v>52</v>
      </c>
      <c r="J258" s="6" t="s">
        <v>51</v>
      </c>
      <c r="K258" s="6"/>
      <c r="L258" s="6"/>
      <c r="M258" s="5" t="s">
        <v>67</v>
      </c>
      <c r="N258" s="5" t="s">
        <v>67</v>
      </c>
      <c r="O258" s="6" t="s">
        <v>54</v>
      </c>
    </row>
    <row r="259" spans="1:15" x14ac:dyDescent="0.35">
      <c r="A259" s="5" t="s">
        <v>844</v>
      </c>
      <c r="B259" s="6" t="s">
        <v>773</v>
      </c>
      <c r="C259" s="6" t="s">
        <v>409</v>
      </c>
      <c r="D259" s="6" t="s">
        <v>48</v>
      </c>
      <c r="E259" s="6" t="s">
        <v>49</v>
      </c>
      <c r="F259" s="6" t="s">
        <v>50</v>
      </c>
      <c r="G259" s="6" t="s">
        <v>13</v>
      </c>
      <c r="H259" s="6" t="s">
        <v>52</v>
      </c>
      <c r="I259" s="6" t="s">
        <v>52</v>
      </c>
      <c r="J259" s="6"/>
      <c r="K259" s="6"/>
      <c r="L259" s="6"/>
      <c r="M259" s="5" t="s">
        <v>63</v>
      </c>
      <c r="N259" s="5" t="s">
        <v>63</v>
      </c>
      <c r="O259" s="6" t="s">
        <v>54</v>
      </c>
    </row>
    <row r="260" spans="1:15" x14ac:dyDescent="0.35">
      <c r="A260" s="5" t="s">
        <v>839</v>
      </c>
      <c r="B260" s="6" t="s">
        <v>516</v>
      </c>
      <c r="C260" s="6" t="s">
        <v>152</v>
      </c>
      <c r="D260" s="6" t="s">
        <v>48</v>
      </c>
      <c r="E260" s="6" t="s">
        <v>49</v>
      </c>
      <c r="F260" s="6" t="s">
        <v>55</v>
      </c>
      <c r="G260" s="6" t="s">
        <v>5</v>
      </c>
      <c r="H260" s="6" t="s">
        <v>52</v>
      </c>
      <c r="I260" s="6" t="s">
        <v>60</v>
      </c>
      <c r="J260" s="6"/>
      <c r="K260" s="6"/>
      <c r="L260" s="6"/>
      <c r="M260" s="5" t="s">
        <v>59</v>
      </c>
      <c r="N260" s="5" t="s">
        <v>59</v>
      </c>
      <c r="O260" s="6" t="s">
        <v>54</v>
      </c>
    </row>
    <row r="261" spans="1:15" x14ac:dyDescent="0.35">
      <c r="A261" s="5" t="s">
        <v>877</v>
      </c>
      <c r="B261" s="6" t="s">
        <v>746</v>
      </c>
      <c r="C261" s="6" t="s">
        <v>382</v>
      </c>
      <c r="D261" s="7" t="s">
        <v>48</v>
      </c>
      <c r="E261" s="7" t="s">
        <v>49</v>
      </c>
      <c r="F261" s="7" t="s">
        <v>50</v>
      </c>
      <c r="G261" s="7" t="s">
        <v>5</v>
      </c>
      <c r="H261" s="7" t="s">
        <v>52</v>
      </c>
      <c r="I261" s="7" t="s">
        <v>52</v>
      </c>
      <c r="J261" s="7"/>
      <c r="K261" s="7"/>
      <c r="L261" s="7"/>
      <c r="M261" s="5" t="s">
        <v>63</v>
      </c>
      <c r="N261" s="5" t="s">
        <v>63</v>
      </c>
      <c r="O261" s="7" t="s">
        <v>54</v>
      </c>
    </row>
    <row r="262" spans="1:15" x14ac:dyDescent="0.35">
      <c r="A262" s="5" t="s">
        <v>843</v>
      </c>
      <c r="B262" s="7" t="s">
        <v>613</v>
      </c>
      <c r="C262" s="7" t="s">
        <v>249</v>
      </c>
      <c r="D262" s="6" t="s">
        <v>48</v>
      </c>
      <c r="E262" s="6" t="s">
        <v>49</v>
      </c>
      <c r="F262" s="6" t="s">
        <v>50</v>
      </c>
      <c r="G262" s="6" t="s">
        <v>9</v>
      </c>
      <c r="H262" s="6" t="s">
        <v>52</v>
      </c>
      <c r="I262" s="6" t="s">
        <v>60</v>
      </c>
      <c r="J262" s="6"/>
      <c r="K262" s="6"/>
      <c r="L262" s="6"/>
      <c r="M262" s="5" t="s">
        <v>67</v>
      </c>
      <c r="N262" s="5" t="s">
        <v>67</v>
      </c>
      <c r="O262" s="6" t="s">
        <v>54</v>
      </c>
    </row>
    <row r="263" spans="1:15" x14ac:dyDescent="0.35">
      <c r="A263" s="5" t="s">
        <v>919</v>
      </c>
      <c r="B263" s="6" t="s">
        <v>810</v>
      </c>
      <c r="C263" s="6" t="s">
        <v>446</v>
      </c>
      <c r="D263" s="6" t="s">
        <v>48</v>
      </c>
      <c r="E263" s="6" t="s">
        <v>49</v>
      </c>
      <c r="F263" s="6" t="s">
        <v>50</v>
      </c>
      <c r="G263" s="6" t="s">
        <v>26</v>
      </c>
      <c r="H263" s="6" t="s">
        <v>52</v>
      </c>
      <c r="I263" s="6" t="s">
        <v>52</v>
      </c>
      <c r="J263" s="6"/>
      <c r="K263" s="6"/>
      <c r="L263" s="6"/>
      <c r="M263" s="5" t="s">
        <v>59</v>
      </c>
      <c r="N263" s="5" t="s">
        <v>59</v>
      </c>
      <c r="O263" s="6" t="s">
        <v>54</v>
      </c>
    </row>
    <row r="264" spans="1:15" x14ac:dyDescent="0.35">
      <c r="A264" s="5" t="s">
        <v>857</v>
      </c>
      <c r="B264" s="7" t="s">
        <v>631</v>
      </c>
      <c r="C264" s="7" t="s">
        <v>267</v>
      </c>
      <c r="D264" s="7" t="s">
        <v>48</v>
      </c>
      <c r="E264" s="7" t="s">
        <v>49</v>
      </c>
      <c r="F264" s="7" t="s">
        <v>50</v>
      </c>
      <c r="G264" s="7" t="s">
        <v>13</v>
      </c>
      <c r="H264" s="7" t="s">
        <v>52</v>
      </c>
      <c r="I264" s="7" t="s">
        <v>60</v>
      </c>
      <c r="J264" s="7" t="s">
        <v>51</v>
      </c>
      <c r="K264" s="7"/>
      <c r="L264" s="7"/>
      <c r="M264" s="5" t="s">
        <v>67</v>
      </c>
      <c r="N264" s="5" t="s">
        <v>67</v>
      </c>
      <c r="O264" s="7" t="s">
        <v>54</v>
      </c>
    </row>
    <row r="265" spans="1:15" x14ac:dyDescent="0.35">
      <c r="A265" s="5" t="s">
        <v>883</v>
      </c>
      <c r="B265" s="6" t="s">
        <v>536</v>
      </c>
      <c r="C265" s="6" t="s">
        <v>172</v>
      </c>
      <c r="D265" s="6" t="s">
        <v>48</v>
      </c>
      <c r="E265" s="6" t="s">
        <v>49</v>
      </c>
      <c r="F265" s="6" t="s">
        <v>50</v>
      </c>
      <c r="G265" s="6" t="s">
        <v>9</v>
      </c>
      <c r="H265" s="6" t="s">
        <v>52</v>
      </c>
      <c r="I265" s="6" t="s">
        <v>52</v>
      </c>
      <c r="J265" s="6"/>
      <c r="K265" s="6"/>
      <c r="L265" s="6"/>
      <c r="M265" s="5" t="s">
        <v>66</v>
      </c>
      <c r="N265" s="5" t="s">
        <v>66</v>
      </c>
      <c r="O265" s="6" t="s">
        <v>54</v>
      </c>
    </row>
    <row r="266" spans="1:15" x14ac:dyDescent="0.35">
      <c r="A266" s="5" t="s">
        <v>862</v>
      </c>
      <c r="B266" s="6" t="s">
        <v>701</v>
      </c>
      <c r="C266" s="6" t="s">
        <v>337</v>
      </c>
      <c r="D266" s="7" t="s">
        <v>48</v>
      </c>
      <c r="E266" s="7" t="s">
        <v>49</v>
      </c>
      <c r="F266" s="7" t="s">
        <v>55</v>
      </c>
      <c r="G266" s="7" t="s">
        <v>18</v>
      </c>
      <c r="H266" s="7" t="s">
        <v>52</v>
      </c>
      <c r="I266" s="7" t="s">
        <v>60</v>
      </c>
      <c r="J266" s="7"/>
      <c r="K266" s="7"/>
      <c r="L266" s="7"/>
      <c r="M266" s="5" t="s">
        <v>67</v>
      </c>
      <c r="N266" s="5" t="s">
        <v>67</v>
      </c>
      <c r="O266" s="7" t="s">
        <v>54</v>
      </c>
    </row>
    <row r="267" spans="1:15" x14ac:dyDescent="0.35">
      <c r="A267" s="5" t="s">
        <v>844</v>
      </c>
      <c r="B267" s="6" t="s">
        <v>519</v>
      </c>
      <c r="C267" s="6" t="s">
        <v>155</v>
      </c>
      <c r="D267" s="7" t="s">
        <v>48</v>
      </c>
      <c r="E267" s="7" t="s">
        <v>49</v>
      </c>
      <c r="F267" s="7" t="s">
        <v>50</v>
      </c>
      <c r="G267" s="7" t="s">
        <v>5</v>
      </c>
      <c r="H267" s="7" t="s">
        <v>52</v>
      </c>
      <c r="I267" s="7" t="s">
        <v>52</v>
      </c>
      <c r="J267" s="7" t="s">
        <v>51</v>
      </c>
      <c r="K267" s="7" t="s">
        <v>51</v>
      </c>
      <c r="L267" s="7"/>
      <c r="M267" s="5" t="s">
        <v>63</v>
      </c>
      <c r="N267" s="5" t="s">
        <v>63</v>
      </c>
      <c r="O267" s="7" t="s">
        <v>54</v>
      </c>
    </row>
    <row r="268" spans="1:15" x14ac:dyDescent="0.35">
      <c r="A268" s="5" t="s">
        <v>841</v>
      </c>
      <c r="B268" s="7" t="s">
        <v>568</v>
      </c>
      <c r="C268" s="7" t="s">
        <v>204</v>
      </c>
      <c r="D268" s="6" t="s">
        <v>48</v>
      </c>
      <c r="E268" s="6" t="s">
        <v>49</v>
      </c>
      <c r="F268" s="6" t="s">
        <v>50</v>
      </c>
      <c r="G268" s="6" t="s">
        <v>5</v>
      </c>
      <c r="H268" s="6" t="s">
        <v>52</v>
      </c>
      <c r="I268" s="6" t="s">
        <v>52</v>
      </c>
      <c r="J268" s="6"/>
      <c r="K268" s="6"/>
      <c r="L268" s="6"/>
      <c r="M268" s="5" t="s">
        <v>57</v>
      </c>
      <c r="N268" s="5" t="s">
        <v>57</v>
      </c>
      <c r="O268" s="6" t="s">
        <v>54</v>
      </c>
    </row>
    <row r="269" spans="1:15" x14ac:dyDescent="0.35">
      <c r="A269" s="5" t="s">
        <v>837</v>
      </c>
      <c r="B269" s="6" t="s">
        <v>798</v>
      </c>
      <c r="C269" s="6" t="s">
        <v>434</v>
      </c>
      <c r="D269" s="6" t="s">
        <v>48</v>
      </c>
      <c r="E269" s="6" t="s">
        <v>49</v>
      </c>
      <c r="F269" s="6" t="s">
        <v>55</v>
      </c>
      <c r="G269" s="6" t="s">
        <v>5</v>
      </c>
      <c r="H269" s="6" t="s">
        <v>52</v>
      </c>
      <c r="I269" s="6" t="s">
        <v>52</v>
      </c>
      <c r="J269" s="6"/>
      <c r="K269" s="6"/>
      <c r="L269" s="6"/>
      <c r="M269" s="5" t="s">
        <v>63</v>
      </c>
      <c r="N269" s="5" t="s">
        <v>63</v>
      </c>
      <c r="O269" s="6" t="s">
        <v>54</v>
      </c>
    </row>
    <row r="270" spans="1:15" x14ac:dyDescent="0.35">
      <c r="A270" s="5" t="s">
        <v>849</v>
      </c>
      <c r="B270" s="6" t="s">
        <v>470</v>
      </c>
      <c r="C270" s="6" t="s">
        <v>106</v>
      </c>
      <c r="D270" s="7" t="s">
        <v>48</v>
      </c>
      <c r="E270" s="7" t="s">
        <v>49</v>
      </c>
      <c r="F270" s="7" t="s">
        <v>55</v>
      </c>
      <c r="G270" s="7" t="s">
        <v>21</v>
      </c>
      <c r="H270" s="7" t="s">
        <v>52</v>
      </c>
      <c r="I270" s="7" t="s">
        <v>60</v>
      </c>
      <c r="J270" s="7"/>
      <c r="K270" s="7"/>
      <c r="L270" s="7"/>
      <c r="M270" s="5" t="s">
        <v>59</v>
      </c>
      <c r="N270" s="5" t="s">
        <v>59</v>
      </c>
      <c r="O270" s="7" t="s">
        <v>54</v>
      </c>
    </row>
    <row r="271" spans="1:15" x14ac:dyDescent="0.35">
      <c r="A271" s="5" t="s">
        <v>848</v>
      </c>
      <c r="B271" s="7" t="s">
        <v>727</v>
      </c>
      <c r="C271" s="7" t="s">
        <v>363</v>
      </c>
      <c r="D271" s="6" t="s">
        <v>48</v>
      </c>
      <c r="E271" s="6" t="s">
        <v>49</v>
      </c>
      <c r="F271" s="6" t="s">
        <v>50</v>
      </c>
      <c r="G271" s="6" t="s">
        <v>5</v>
      </c>
      <c r="H271" s="6" t="s">
        <v>52</v>
      </c>
      <c r="I271" s="6" t="s">
        <v>60</v>
      </c>
      <c r="J271" s="6"/>
      <c r="K271" s="6"/>
      <c r="L271" s="6"/>
      <c r="M271" s="5" t="s">
        <v>56</v>
      </c>
      <c r="N271" s="5" t="s">
        <v>56</v>
      </c>
      <c r="O271" s="6" t="s">
        <v>54</v>
      </c>
    </row>
    <row r="272" spans="1:15" x14ac:dyDescent="0.35">
      <c r="A272" s="5" t="s">
        <v>843</v>
      </c>
      <c r="B272" s="6" t="s">
        <v>641</v>
      </c>
      <c r="C272" s="6" t="s">
        <v>277</v>
      </c>
      <c r="D272" s="7" t="s">
        <v>48</v>
      </c>
      <c r="E272" s="7" t="s">
        <v>49</v>
      </c>
      <c r="F272" s="7" t="s">
        <v>50</v>
      </c>
      <c r="G272" s="7" t="s">
        <v>5</v>
      </c>
      <c r="H272" s="7" t="s">
        <v>52</v>
      </c>
      <c r="I272" s="7" t="s">
        <v>60</v>
      </c>
      <c r="J272" s="7"/>
      <c r="K272" s="7"/>
      <c r="L272" s="7"/>
      <c r="M272" s="5" t="s">
        <v>67</v>
      </c>
      <c r="N272" s="5" t="s">
        <v>67</v>
      </c>
      <c r="O272" s="7" t="s">
        <v>54</v>
      </c>
    </row>
    <row r="273" spans="1:15" x14ac:dyDescent="0.35">
      <c r="A273" s="5" t="s">
        <v>872</v>
      </c>
      <c r="B273" s="7" t="s">
        <v>490</v>
      </c>
      <c r="C273" s="7" t="s">
        <v>126</v>
      </c>
      <c r="D273" s="7" t="s">
        <v>48</v>
      </c>
      <c r="E273" s="7" t="s">
        <v>49</v>
      </c>
      <c r="F273" s="7" t="s">
        <v>55</v>
      </c>
      <c r="G273" s="7" t="s">
        <v>5</v>
      </c>
      <c r="H273" s="7" t="s">
        <v>52</v>
      </c>
      <c r="I273" s="7" t="s">
        <v>52</v>
      </c>
      <c r="J273" s="7" t="s">
        <v>51</v>
      </c>
      <c r="K273" s="7"/>
      <c r="L273" s="7"/>
      <c r="M273" s="5" t="s">
        <v>57</v>
      </c>
      <c r="N273" s="5" t="s">
        <v>57</v>
      </c>
      <c r="O273" s="7" t="s">
        <v>54</v>
      </c>
    </row>
    <row r="274" spans="1:15" x14ac:dyDescent="0.35">
      <c r="A274" s="5" t="s">
        <v>875</v>
      </c>
      <c r="B274" s="7" t="s">
        <v>598</v>
      </c>
      <c r="C274" s="7" t="s">
        <v>234</v>
      </c>
      <c r="D274" s="7" t="s">
        <v>48</v>
      </c>
      <c r="E274" s="7" t="s">
        <v>49</v>
      </c>
      <c r="F274" s="7" t="s">
        <v>50</v>
      </c>
      <c r="G274" s="7" t="s">
        <v>5</v>
      </c>
      <c r="H274" s="7" t="s">
        <v>52</v>
      </c>
      <c r="I274" s="7" t="s">
        <v>52</v>
      </c>
      <c r="J274" s="7"/>
      <c r="K274" s="7"/>
      <c r="L274" s="7"/>
      <c r="M274" s="5" t="s">
        <v>67</v>
      </c>
      <c r="N274" s="5" t="s">
        <v>67</v>
      </c>
      <c r="O274" s="7" t="s">
        <v>54</v>
      </c>
    </row>
    <row r="275" spans="1:15" x14ac:dyDescent="0.35">
      <c r="A275" s="5" t="s">
        <v>863</v>
      </c>
      <c r="B275" s="6" t="s">
        <v>645</v>
      </c>
      <c r="C275" s="6" t="s">
        <v>281</v>
      </c>
      <c r="D275" s="7" t="s">
        <v>48</v>
      </c>
      <c r="E275" s="7" t="s">
        <v>49</v>
      </c>
      <c r="F275" s="7" t="s">
        <v>50</v>
      </c>
      <c r="G275" s="7" t="s">
        <v>26</v>
      </c>
      <c r="H275" s="7" t="s">
        <v>51</v>
      </c>
      <c r="I275" s="7" t="s">
        <v>52</v>
      </c>
      <c r="J275" s="7"/>
      <c r="K275" s="7"/>
      <c r="L275" s="7"/>
      <c r="M275" s="5" t="s">
        <v>56</v>
      </c>
      <c r="N275" s="5" t="s">
        <v>56</v>
      </c>
      <c r="O275" s="7" t="s">
        <v>54</v>
      </c>
    </row>
    <row r="276" spans="1:15" x14ac:dyDescent="0.35">
      <c r="A276" s="5" t="s">
        <v>862</v>
      </c>
      <c r="B276" s="7" t="s">
        <v>586</v>
      </c>
      <c r="C276" s="7" t="s">
        <v>222</v>
      </c>
      <c r="D276" s="7" t="s">
        <v>48</v>
      </c>
      <c r="E276" s="7" t="s">
        <v>49</v>
      </c>
      <c r="F276" s="7" t="s">
        <v>55</v>
      </c>
      <c r="G276" s="7" t="s">
        <v>27</v>
      </c>
      <c r="H276" s="7" t="s">
        <v>52</v>
      </c>
      <c r="I276" s="7" t="s">
        <v>60</v>
      </c>
      <c r="J276" s="7"/>
      <c r="K276" s="7"/>
      <c r="L276" s="7"/>
      <c r="M276" s="5" t="s">
        <v>67</v>
      </c>
      <c r="N276" s="5" t="s">
        <v>67</v>
      </c>
      <c r="O276" s="7" t="s">
        <v>54</v>
      </c>
    </row>
    <row r="277" spans="1:15" x14ac:dyDescent="0.35">
      <c r="A277" s="5" t="s">
        <v>841</v>
      </c>
      <c r="B277" s="6" t="s">
        <v>693</v>
      </c>
      <c r="C277" s="6" t="s">
        <v>329</v>
      </c>
      <c r="D277" s="7" t="s">
        <v>48</v>
      </c>
      <c r="E277" s="7" t="s">
        <v>49</v>
      </c>
      <c r="F277" s="7" t="s">
        <v>50</v>
      </c>
      <c r="G277" s="7" t="s">
        <v>22</v>
      </c>
      <c r="H277" s="7" t="s">
        <v>52</v>
      </c>
      <c r="I277" s="7" t="s">
        <v>52</v>
      </c>
      <c r="J277" s="7"/>
      <c r="K277" s="7"/>
      <c r="L277" s="7"/>
      <c r="M277" s="5" t="s">
        <v>57</v>
      </c>
      <c r="N277" s="5" t="s">
        <v>57</v>
      </c>
      <c r="O277" s="7" t="s">
        <v>54</v>
      </c>
    </row>
    <row r="278" spans="1:15" x14ac:dyDescent="0.35">
      <c r="A278" s="5" t="s">
        <v>844</v>
      </c>
      <c r="B278" s="6" t="s">
        <v>548</v>
      </c>
      <c r="C278" s="6" t="s">
        <v>184</v>
      </c>
      <c r="D278" s="6" t="s">
        <v>48</v>
      </c>
      <c r="E278" s="6" t="s">
        <v>49</v>
      </c>
      <c r="F278" s="6" t="s">
        <v>50</v>
      </c>
      <c r="G278" s="6" t="s">
        <v>29</v>
      </c>
      <c r="H278" s="6" t="s">
        <v>52</v>
      </c>
      <c r="I278" s="6" t="s">
        <v>52</v>
      </c>
      <c r="J278" s="6"/>
      <c r="K278" s="6"/>
      <c r="L278" s="6"/>
      <c r="M278" s="5" t="s">
        <v>63</v>
      </c>
      <c r="N278" s="5" t="s">
        <v>63</v>
      </c>
      <c r="O278" s="6" t="s">
        <v>54</v>
      </c>
    </row>
    <row r="279" spans="1:15" x14ac:dyDescent="0.35">
      <c r="A279" s="5" t="s">
        <v>845</v>
      </c>
      <c r="B279" s="7" t="s">
        <v>694</v>
      </c>
      <c r="C279" s="7" t="s">
        <v>330</v>
      </c>
      <c r="D279" s="6" t="s">
        <v>48</v>
      </c>
      <c r="E279" s="6" t="s">
        <v>49</v>
      </c>
      <c r="F279" s="6" t="s">
        <v>55</v>
      </c>
      <c r="G279" s="6" t="s">
        <v>29</v>
      </c>
      <c r="H279" s="6" t="s">
        <v>52</v>
      </c>
      <c r="I279" s="6" t="s">
        <v>52</v>
      </c>
      <c r="J279" s="6"/>
      <c r="K279" s="6"/>
      <c r="L279" s="6"/>
      <c r="M279" s="5" t="s">
        <v>57</v>
      </c>
      <c r="N279" s="5" t="s">
        <v>57</v>
      </c>
      <c r="O279" s="6" t="s">
        <v>54</v>
      </c>
    </row>
    <row r="280" spans="1:15" x14ac:dyDescent="0.35">
      <c r="A280" s="5" t="s">
        <v>849</v>
      </c>
      <c r="B280" s="6" t="s">
        <v>672</v>
      </c>
      <c r="C280" s="6" t="s">
        <v>308</v>
      </c>
      <c r="D280" s="7" t="s">
        <v>48</v>
      </c>
      <c r="E280" s="7" t="s">
        <v>49</v>
      </c>
      <c r="F280" s="7" t="s">
        <v>55</v>
      </c>
      <c r="G280" s="7" t="s">
        <v>9</v>
      </c>
      <c r="H280" s="7" t="s">
        <v>52</v>
      </c>
      <c r="I280" s="7" t="s">
        <v>52</v>
      </c>
      <c r="J280" s="7" t="s">
        <v>51</v>
      </c>
      <c r="K280" s="7"/>
      <c r="L280" s="7"/>
      <c r="M280" s="5" t="s">
        <v>59</v>
      </c>
      <c r="N280" s="5" t="s">
        <v>59</v>
      </c>
      <c r="O280" s="7" t="s">
        <v>54</v>
      </c>
    </row>
    <row r="281" spans="1:15" x14ac:dyDescent="0.35">
      <c r="A281" s="5" t="s">
        <v>926</v>
      </c>
      <c r="B281" s="6" t="s">
        <v>786</v>
      </c>
      <c r="C281" s="6" t="s">
        <v>422</v>
      </c>
      <c r="D281" s="7" t="s">
        <v>48</v>
      </c>
      <c r="E281" s="7" t="s">
        <v>49</v>
      </c>
      <c r="F281" s="7" t="s">
        <v>55</v>
      </c>
      <c r="G281" s="7" t="s">
        <v>5</v>
      </c>
      <c r="H281" s="7" t="s">
        <v>51</v>
      </c>
      <c r="I281" s="7" t="s">
        <v>52</v>
      </c>
      <c r="J281" s="7" t="s">
        <v>51</v>
      </c>
      <c r="K281" s="7" t="s">
        <v>51</v>
      </c>
      <c r="L281" s="7"/>
      <c r="M281" s="5" t="s">
        <v>95</v>
      </c>
      <c r="N281" s="5" t="s">
        <v>95</v>
      </c>
      <c r="O281" s="6" t="s">
        <v>54</v>
      </c>
    </row>
    <row r="282" spans="1:15" x14ac:dyDescent="0.35">
      <c r="A282" s="5" t="s">
        <v>870</v>
      </c>
      <c r="B282" s="7" t="s">
        <v>619</v>
      </c>
      <c r="C282" s="7" t="s">
        <v>255</v>
      </c>
      <c r="D282" s="6" t="s">
        <v>48</v>
      </c>
      <c r="E282" s="6" t="s">
        <v>49</v>
      </c>
      <c r="F282" s="6" t="s">
        <v>50</v>
      </c>
      <c r="G282" s="6" t="s">
        <v>9</v>
      </c>
      <c r="H282" s="6" t="s">
        <v>52</v>
      </c>
      <c r="I282" s="6" t="s">
        <v>52</v>
      </c>
      <c r="J282" s="6"/>
      <c r="K282" s="6"/>
      <c r="L282" s="6"/>
      <c r="M282" s="5" t="s">
        <v>67</v>
      </c>
      <c r="N282" s="5" t="s">
        <v>67</v>
      </c>
      <c r="O282" s="6" t="s">
        <v>54</v>
      </c>
    </row>
    <row r="283" spans="1:15" x14ac:dyDescent="0.35">
      <c r="A283" s="5" t="s">
        <v>875</v>
      </c>
      <c r="B283" s="6" t="s">
        <v>689</v>
      </c>
      <c r="C283" s="6" t="s">
        <v>325</v>
      </c>
      <c r="D283" s="7" t="s">
        <v>48</v>
      </c>
      <c r="E283" s="7" t="s">
        <v>49</v>
      </c>
      <c r="F283" s="7" t="s">
        <v>50</v>
      </c>
      <c r="G283" s="7" t="s">
        <v>9</v>
      </c>
      <c r="H283" s="7" t="s">
        <v>52</v>
      </c>
      <c r="I283" s="7" t="s">
        <v>52</v>
      </c>
      <c r="J283" s="7"/>
      <c r="K283" s="7"/>
      <c r="L283" s="7"/>
      <c r="M283" s="5" t="s">
        <v>67</v>
      </c>
      <c r="N283" s="5" t="s">
        <v>67</v>
      </c>
      <c r="O283" s="7" t="s">
        <v>54</v>
      </c>
    </row>
    <row r="284" spans="1:15" x14ac:dyDescent="0.35">
      <c r="A284" s="5" t="s">
        <v>863</v>
      </c>
      <c r="B284" s="6" t="s">
        <v>485</v>
      </c>
      <c r="C284" s="6" t="s">
        <v>121</v>
      </c>
      <c r="D284" s="6" t="s">
        <v>48</v>
      </c>
      <c r="E284" s="6" t="s">
        <v>49</v>
      </c>
      <c r="F284" s="6" t="s">
        <v>50</v>
      </c>
      <c r="G284" s="6" t="s">
        <v>26</v>
      </c>
      <c r="H284" s="6" t="s">
        <v>52</v>
      </c>
      <c r="I284" s="6" t="s">
        <v>64</v>
      </c>
      <c r="J284" s="6"/>
      <c r="K284" s="6"/>
      <c r="L284" s="6"/>
      <c r="M284" s="5" t="s">
        <v>56</v>
      </c>
      <c r="N284" s="5" t="s">
        <v>56</v>
      </c>
      <c r="O284" s="6" t="s">
        <v>54</v>
      </c>
    </row>
    <row r="285" spans="1:15" x14ac:dyDescent="0.35">
      <c r="A285" s="5" t="s">
        <v>870</v>
      </c>
      <c r="B285" s="6" t="s">
        <v>632</v>
      </c>
      <c r="C285" s="6" t="s">
        <v>268</v>
      </c>
      <c r="D285" s="6" t="s">
        <v>48</v>
      </c>
      <c r="E285" s="6" t="s">
        <v>49</v>
      </c>
      <c r="F285" s="6" t="s">
        <v>50</v>
      </c>
      <c r="G285" s="6" t="s">
        <v>13</v>
      </c>
      <c r="H285" s="6" t="s">
        <v>52</v>
      </c>
      <c r="I285" s="6" t="s">
        <v>52</v>
      </c>
      <c r="J285" s="6" t="s">
        <v>51</v>
      </c>
      <c r="K285" s="6"/>
      <c r="L285" s="6"/>
      <c r="M285" s="5" t="s">
        <v>67</v>
      </c>
      <c r="N285" s="5" t="s">
        <v>67</v>
      </c>
      <c r="O285" s="6" t="s">
        <v>54</v>
      </c>
    </row>
    <row r="286" spans="1:15" x14ac:dyDescent="0.35">
      <c r="A286" s="5" t="s">
        <v>927</v>
      </c>
      <c r="B286" s="6" t="s">
        <v>809</v>
      </c>
      <c r="C286" s="6" t="s">
        <v>445</v>
      </c>
      <c r="D286" s="7" t="s">
        <v>48</v>
      </c>
      <c r="E286" s="7" t="s">
        <v>49</v>
      </c>
      <c r="F286" s="7" t="s">
        <v>55</v>
      </c>
      <c r="G286" s="7" t="s">
        <v>19</v>
      </c>
      <c r="H286" s="7" t="s">
        <v>52</v>
      </c>
      <c r="I286" s="7" t="s">
        <v>52</v>
      </c>
      <c r="J286" s="7"/>
      <c r="K286" s="7"/>
      <c r="L286" s="7"/>
      <c r="M286" s="5" t="s">
        <v>61</v>
      </c>
      <c r="N286" s="5" t="s">
        <v>61</v>
      </c>
      <c r="O286" s="7" t="s">
        <v>54</v>
      </c>
    </row>
    <row r="287" spans="1:15" x14ac:dyDescent="0.35">
      <c r="A287" s="5" t="s">
        <v>916</v>
      </c>
      <c r="B287" s="6" t="s">
        <v>705</v>
      </c>
      <c r="C287" s="6" t="s">
        <v>341</v>
      </c>
      <c r="D287" s="7" t="s">
        <v>48</v>
      </c>
      <c r="E287" s="7" t="s">
        <v>49</v>
      </c>
      <c r="F287" s="7" t="s">
        <v>55</v>
      </c>
      <c r="G287" s="7" t="s">
        <v>25</v>
      </c>
      <c r="H287" s="7" t="s">
        <v>52</v>
      </c>
      <c r="I287" s="7" t="s">
        <v>52</v>
      </c>
      <c r="J287" s="7"/>
      <c r="K287" s="7"/>
      <c r="L287" s="7"/>
      <c r="M287" s="5" t="s">
        <v>56</v>
      </c>
      <c r="N287" s="5" t="s">
        <v>56</v>
      </c>
      <c r="O287" s="7" t="s">
        <v>54</v>
      </c>
    </row>
    <row r="288" spans="1:15" x14ac:dyDescent="0.35">
      <c r="A288" s="5" t="s">
        <v>850</v>
      </c>
      <c r="B288" s="7" t="s">
        <v>571</v>
      </c>
      <c r="C288" s="7" t="s">
        <v>207</v>
      </c>
      <c r="D288" s="7" t="s">
        <v>48</v>
      </c>
      <c r="E288" s="7" t="s">
        <v>49</v>
      </c>
      <c r="F288" s="7" t="s">
        <v>50</v>
      </c>
      <c r="G288" s="7" t="s">
        <v>26</v>
      </c>
      <c r="H288" s="7" t="s">
        <v>52</v>
      </c>
      <c r="I288" s="7" t="s">
        <v>52</v>
      </c>
      <c r="J288" s="7"/>
      <c r="K288" s="7"/>
      <c r="L288" s="7"/>
      <c r="M288" s="5" t="s">
        <v>57</v>
      </c>
      <c r="N288" s="5" t="s">
        <v>57</v>
      </c>
      <c r="O288" s="7" t="s">
        <v>54</v>
      </c>
    </row>
    <row r="289" spans="1:15" x14ac:dyDescent="0.35">
      <c r="A289" s="5" t="s">
        <v>919</v>
      </c>
      <c r="B289" s="6" t="s">
        <v>761</v>
      </c>
      <c r="C289" s="6" t="s">
        <v>397</v>
      </c>
      <c r="D289" s="6" t="s">
        <v>48</v>
      </c>
      <c r="E289" s="6" t="s">
        <v>49</v>
      </c>
      <c r="F289" s="6" t="s">
        <v>50</v>
      </c>
      <c r="G289" s="6" t="s">
        <v>5</v>
      </c>
      <c r="H289" s="6" t="s">
        <v>52</v>
      </c>
      <c r="I289" s="6" t="s">
        <v>52</v>
      </c>
      <c r="J289" s="6"/>
      <c r="K289" s="6"/>
      <c r="L289" s="6"/>
      <c r="M289" s="5" t="s">
        <v>59</v>
      </c>
      <c r="N289" s="5" t="s">
        <v>59</v>
      </c>
      <c r="O289" s="6" t="s">
        <v>54</v>
      </c>
    </row>
    <row r="290" spans="1:15" x14ac:dyDescent="0.35">
      <c r="A290" s="5" t="s">
        <v>877</v>
      </c>
      <c r="B290" s="6" t="s">
        <v>749</v>
      </c>
      <c r="C290" s="6" t="s">
        <v>385</v>
      </c>
      <c r="D290" s="6" t="s">
        <v>48</v>
      </c>
      <c r="E290" s="6" t="s">
        <v>49</v>
      </c>
      <c r="F290" s="6" t="s">
        <v>50</v>
      </c>
      <c r="G290" s="6" t="s">
        <v>9</v>
      </c>
      <c r="H290" s="6" t="s">
        <v>52</v>
      </c>
      <c r="I290" s="6" t="s">
        <v>52</v>
      </c>
      <c r="J290" s="6"/>
      <c r="K290" s="6"/>
      <c r="L290" s="6"/>
      <c r="M290" s="5" t="s">
        <v>63</v>
      </c>
      <c r="N290" s="5" t="s">
        <v>63</v>
      </c>
      <c r="O290" s="6" t="s">
        <v>54</v>
      </c>
    </row>
    <row r="291" spans="1:15" x14ac:dyDescent="0.35">
      <c r="A291" s="5" t="s">
        <v>857</v>
      </c>
      <c r="B291" s="7" t="s">
        <v>691</v>
      </c>
      <c r="C291" s="7" t="s">
        <v>327</v>
      </c>
      <c r="D291" s="7" t="s">
        <v>48</v>
      </c>
      <c r="E291" s="7" t="s">
        <v>49</v>
      </c>
      <c r="F291" s="7" t="s">
        <v>50</v>
      </c>
      <c r="G291" s="7" t="s">
        <v>5</v>
      </c>
      <c r="H291" s="7" t="s">
        <v>52</v>
      </c>
      <c r="I291" s="7" t="s">
        <v>52</v>
      </c>
      <c r="J291" s="7" t="s">
        <v>51</v>
      </c>
      <c r="K291" s="7"/>
      <c r="L291" s="7"/>
      <c r="M291" s="5" t="s">
        <v>67</v>
      </c>
      <c r="N291" s="5" t="s">
        <v>67</v>
      </c>
      <c r="O291" s="7" t="s">
        <v>54</v>
      </c>
    </row>
    <row r="292" spans="1:15" x14ac:dyDescent="0.35">
      <c r="A292" s="5" t="s">
        <v>877</v>
      </c>
      <c r="B292" s="6" t="s">
        <v>732</v>
      </c>
      <c r="C292" s="6" t="s">
        <v>368</v>
      </c>
      <c r="D292" s="7" t="s">
        <v>48</v>
      </c>
      <c r="E292" s="7" t="s">
        <v>49</v>
      </c>
      <c r="F292" s="7" t="s">
        <v>50</v>
      </c>
      <c r="G292" s="7" t="s">
        <v>5</v>
      </c>
      <c r="H292" s="7" t="s">
        <v>52</v>
      </c>
      <c r="I292" s="7" t="s">
        <v>52</v>
      </c>
      <c r="J292" s="7"/>
      <c r="K292" s="7"/>
      <c r="L292" s="7"/>
      <c r="M292" s="5" t="s">
        <v>63</v>
      </c>
      <c r="N292" s="5" t="s">
        <v>63</v>
      </c>
      <c r="O292" s="7" t="s">
        <v>54</v>
      </c>
    </row>
    <row r="293" spans="1:15" x14ac:dyDescent="0.35">
      <c r="A293" s="5" t="s">
        <v>872</v>
      </c>
      <c r="B293" s="6" t="s">
        <v>473</v>
      </c>
      <c r="C293" s="6" t="s">
        <v>109</v>
      </c>
      <c r="D293" s="6" t="s">
        <v>48</v>
      </c>
      <c r="E293" s="6" t="s">
        <v>49</v>
      </c>
      <c r="F293" s="6" t="s">
        <v>55</v>
      </c>
      <c r="G293" s="6" t="s">
        <v>5</v>
      </c>
      <c r="H293" s="6" t="s">
        <v>52</v>
      </c>
      <c r="I293" s="6" t="s">
        <v>52</v>
      </c>
      <c r="J293" s="6" t="s">
        <v>51</v>
      </c>
      <c r="K293" s="6" t="s">
        <v>51</v>
      </c>
      <c r="L293" s="6" t="s">
        <v>62</v>
      </c>
      <c r="M293" s="5" t="s">
        <v>57</v>
      </c>
      <c r="N293" s="5" t="s">
        <v>57</v>
      </c>
      <c r="O293" s="6" t="s">
        <v>54</v>
      </c>
    </row>
    <row r="294" spans="1:15" x14ac:dyDescent="0.35">
      <c r="A294" s="5" t="s">
        <v>845</v>
      </c>
      <c r="B294" s="7" t="s">
        <v>649</v>
      </c>
      <c r="C294" s="7" t="s">
        <v>285</v>
      </c>
      <c r="D294" s="7" t="s">
        <v>48</v>
      </c>
      <c r="E294" s="7" t="s">
        <v>49</v>
      </c>
      <c r="F294" s="7" t="s">
        <v>55</v>
      </c>
      <c r="G294" s="7" t="s">
        <v>21</v>
      </c>
      <c r="H294" s="7" t="s">
        <v>52</v>
      </c>
      <c r="I294" s="7" t="s">
        <v>52</v>
      </c>
      <c r="J294" s="7" t="s">
        <v>51</v>
      </c>
      <c r="K294" s="7"/>
      <c r="L294" s="7" t="s">
        <v>70</v>
      </c>
      <c r="M294" s="5" t="s">
        <v>57</v>
      </c>
      <c r="N294" s="5" t="s">
        <v>57</v>
      </c>
      <c r="O294" s="7" t="s">
        <v>54</v>
      </c>
    </row>
    <row r="295" spans="1:15" x14ac:dyDescent="0.35">
      <c r="A295" s="5" t="s">
        <v>834</v>
      </c>
      <c r="B295" s="7" t="s">
        <v>709</v>
      </c>
      <c r="C295" s="7" t="s">
        <v>345</v>
      </c>
      <c r="D295" s="6" t="s">
        <v>48</v>
      </c>
      <c r="E295" s="6" t="s">
        <v>49</v>
      </c>
      <c r="F295" s="6" t="s">
        <v>55</v>
      </c>
      <c r="G295" s="6" t="s">
        <v>13</v>
      </c>
      <c r="H295" s="6" t="s">
        <v>51</v>
      </c>
      <c r="I295" s="6" t="s">
        <v>52</v>
      </c>
      <c r="J295" s="6" t="s">
        <v>51</v>
      </c>
      <c r="K295" s="6" t="s">
        <v>51</v>
      </c>
      <c r="L295" s="6"/>
      <c r="M295" s="5" t="s">
        <v>56</v>
      </c>
      <c r="N295" s="5" t="s">
        <v>56</v>
      </c>
      <c r="O295" s="6" t="s">
        <v>54</v>
      </c>
    </row>
    <row r="296" spans="1:15" x14ac:dyDescent="0.35">
      <c r="A296" s="5" t="s">
        <v>838</v>
      </c>
      <c r="B296" s="7" t="s">
        <v>472</v>
      </c>
      <c r="C296" s="7" t="s">
        <v>108</v>
      </c>
      <c r="D296" s="7" t="s">
        <v>48</v>
      </c>
      <c r="E296" s="7" t="s">
        <v>49</v>
      </c>
      <c r="F296" s="7" t="s">
        <v>55</v>
      </c>
      <c r="G296" s="7" t="s">
        <v>20</v>
      </c>
      <c r="H296" s="7" t="s">
        <v>52</v>
      </c>
      <c r="I296" s="7" t="s">
        <v>60</v>
      </c>
      <c r="J296" s="7"/>
      <c r="K296" s="8">
        <v>45866</v>
      </c>
      <c r="L296" s="7"/>
      <c r="M296" s="5" t="s">
        <v>61</v>
      </c>
      <c r="N296" s="5" t="s">
        <v>61</v>
      </c>
      <c r="O296" s="7" t="s">
        <v>54</v>
      </c>
    </row>
    <row r="297" spans="1:15" x14ac:dyDescent="0.35">
      <c r="A297" s="5" t="s">
        <v>928</v>
      </c>
      <c r="B297" s="7" t="s">
        <v>745</v>
      </c>
      <c r="C297" s="7" t="s">
        <v>381</v>
      </c>
      <c r="D297" s="6" t="s">
        <v>48</v>
      </c>
      <c r="E297" s="6" t="s">
        <v>49</v>
      </c>
      <c r="F297" s="6" t="s">
        <v>50</v>
      </c>
      <c r="G297" s="6" t="s">
        <v>20</v>
      </c>
      <c r="H297" s="6" t="s">
        <v>52</v>
      </c>
      <c r="I297" s="6" t="s">
        <v>52</v>
      </c>
      <c r="J297" s="6"/>
      <c r="K297" s="6"/>
      <c r="L297" s="6"/>
      <c r="M297" s="5" t="s">
        <v>61</v>
      </c>
      <c r="N297" s="5" t="s">
        <v>61</v>
      </c>
      <c r="O297" s="6" t="s">
        <v>54</v>
      </c>
    </row>
    <row r="298" spans="1:15" x14ac:dyDescent="0.35">
      <c r="A298" s="5" t="s">
        <v>832</v>
      </c>
      <c r="B298" s="6" t="s">
        <v>545</v>
      </c>
      <c r="C298" s="6" t="s">
        <v>181</v>
      </c>
      <c r="D298" s="7" t="s">
        <v>48</v>
      </c>
      <c r="E298" s="7" t="s">
        <v>49</v>
      </c>
      <c r="F298" s="7" t="s">
        <v>50</v>
      </c>
      <c r="G298" s="7" t="s">
        <v>17</v>
      </c>
      <c r="H298" s="7" t="s">
        <v>52</v>
      </c>
      <c r="I298" s="7" t="s">
        <v>52</v>
      </c>
      <c r="J298" s="7"/>
      <c r="K298" s="7"/>
      <c r="L298" s="7"/>
      <c r="M298" s="5" t="s">
        <v>59</v>
      </c>
      <c r="N298" s="5" t="s">
        <v>59</v>
      </c>
      <c r="O298" s="7" t="s">
        <v>54</v>
      </c>
    </row>
    <row r="299" spans="1:15" x14ac:dyDescent="0.35">
      <c r="A299" s="5" t="s">
        <v>855</v>
      </c>
      <c r="B299" s="7" t="s">
        <v>697</v>
      </c>
      <c r="C299" s="7" t="s">
        <v>333</v>
      </c>
      <c r="D299" s="7" t="s">
        <v>48</v>
      </c>
      <c r="E299" s="7" t="s">
        <v>49</v>
      </c>
      <c r="F299" s="7" t="s">
        <v>55</v>
      </c>
      <c r="G299" s="7" t="s">
        <v>19</v>
      </c>
      <c r="H299" s="7" t="s">
        <v>52</v>
      </c>
      <c r="I299" s="7" t="s">
        <v>52</v>
      </c>
      <c r="J299" s="7" t="s">
        <v>51</v>
      </c>
      <c r="K299" s="7"/>
      <c r="L299" s="7"/>
      <c r="M299" s="5" t="s">
        <v>57</v>
      </c>
      <c r="N299" s="5" t="s">
        <v>57</v>
      </c>
      <c r="O299" s="7" t="s">
        <v>54</v>
      </c>
    </row>
    <row r="300" spans="1:15" x14ac:dyDescent="0.35">
      <c r="A300" s="5" t="s">
        <v>870</v>
      </c>
      <c r="B300" s="7" t="s">
        <v>547</v>
      </c>
      <c r="C300" s="7" t="s">
        <v>183</v>
      </c>
      <c r="D300" s="7" t="s">
        <v>48</v>
      </c>
      <c r="E300" s="7" t="s">
        <v>49</v>
      </c>
      <c r="F300" s="7" t="s">
        <v>50</v>
      </c>
      <c r="G300" s="7" t="s">
        <v>14</v>
      </c>
      <c r="H300" s="7" t="s">
        <v>52</v>
      </c>
      <c r="I300" s="7" t="s">
        <v>60</v>
      </c>
      <c r="J300" s="7" t="s">
        <v>51</v>
      </c>
      <c r="K300" s="7"/>
      <c r="L300" s="7"/>
      <c r="M300" s="5" t="s">
        <v>67</v>
      </c>
      <c r="N300" s="5" t="s">
        <v>67</v>
      </c>
      <c r="O300" s="7" t="s">
        <v>54</v>
      </c>
    </row>
    <row r="301" spans="1:15" x14ac:dyDescent="0.35">
      <c r="A301" s="5" t="s">
        <v>891</v>
      </c>
      <c r="B301" s="7" t="s">
        <v>667</v>
      </c>
      <c r="C301" s="7" t="s">
        <v>303</v>
      </c>
      <c r="D301" s="6" t="s">
        <v>48</v>
      </c>
      <c r="E301" s="6" t="s">
        <v>49</v>
      </c>
      <c r="F301" s="6" t="s">
        <v>55</v>
      </c>
      <c r="G301" s="6" t="s">
        <v>9</v>
      </c>
      <c r="H301" s="6" t="s">
        <v>52</v>
      </c>
      <c r="I301" s="6" t="s">
        <v>52</v>
      </c>
      <c r="J301" s="6" t="s">
        <v>51</v>
      </c>
      <c r="K301" s="6" t="s">
        <v>51</v>
      </c>
      <c r="L301" s="6" t="s">
        <v>91</v>
      </c>
      <c r="M301" s="5" t="s">
        <v>63</v>
      </c>
      <c r="N301" s="5" t="s">
        <v>63</v>
      </c>
      <c r="O301" s="6" t="s">
        <v>54</v>
      </c>
    </row>
    <row r="302" spans="1:15" x14ac:dyDescent="0.35">
      <c r="A302" s="5" t="s">
        <v>881</v>
      </c>
      <c r="B302" s="6" t="s">
        <v>723</v>
      </c>
      <c r="C302" s="6" t="s">
        <v>359</v>
      </c>
      <c r="D302" s="6" t="s">
        <v>48</v>
      </c>
      <c r="E302" s="6" t="s">
        <v>49</v>
      </c>
      <c r="F302" s="6" t="s">
        <v>50</v>
      </c>
      <c r="G302" s="6" t="s">
        <v>9</v>
      </c>
      <c r="H302" s="6" t="s">
        <v>51</v>
      </c>
      <c r="I302" s="6" t="s">
        <v>52</v>
      </c>
      <c r="J302" s="6"/>
      <c r="K302" s="6"/>
      <c r="L302" s="6"/>
      <c r="M302" s="5" t="s">
        <v>67</v>
      </c>
      <c r="N302" s="5" t="s">
        <v>67</v>
      </c>
      <c r="O302" s="6" t="s">
        <v>54</v>
      </c>
    </row>
    <row r="303" spans="1:15" x14ac:dyDescent="0.35">
      <c r="A303" s="5" t="s">
        <v>848</v>
      </c>
      <c r="B303" s="6" t="s">
        <v>725</v>
      </c>
      <c r="C303" s="6" t="s">
        <v>361</v>
      </c>
      <c r="D303" s="6" t="s">
        <v>48</v>
      </c>
      <c r="E303" s="6" t="s">
        <v>49</v>
      </c>
      <c r="F303" s="6" t="s">
        <v>50</v>
      </c>
      <c r="G303" s="6" t="s">
        <v>29</v>
      </c>
      <c r="H303" s="6" t="s">
        <v>52</v>
      </c>
      <c r="I303" s="6" t="s">
        <v>52</v>
      </c>
      <c r="J303" s="6"/>
      <c r="K303" s="6"/>
      <c r="L303" s="6"/>
      <c r="M303" s="5" t="s">
        <v>56</v>
      </c>
      <c r="N303" s="5" t="s">
        <v>56</v>
      </c>
      <c r="O303" s="6" t="s">
        <v>54</v>
      </c>
    </row>
    <row r="304" spans="1:15" x14ac:dyDescent="0.35">
      <c r="A304" s="5" t="s">
        <v>847</v>
      </c>
      <c r="B304" s="6" t="s">
        <v>498</v>
      </c>
      <c r="C304" s="6" t="s">
        <v>134</v>
      </c>
      <c r="D304" s="7" t="s">
        <v>48</v>
      </c>
      <c r="E304" s="7" t="s">
        <v>49</v>
      </c>
      <c r="F304" s="7" t="s">
        <v>55</v>
      </c>
      <c r="G304" s="7" t="s">
        <v>9</v>
      </c>
      <c r="H304" s="7" t="s">
        <v>52</v>
      </c>
      <c r="I304" s="7" t="s">
        <v>52</v>
      </c>
      <c r="J304" s="7"/>
      <c r="K304" s="7"/>
      <c r="L304" s="7"/>
      <c r="M304" s="5" t="s">
        <v>67</v>
      </c>
      <c r="N304" s="5" t="s">
        <v>67</v>
      </c>
      <c r="O304" s="7" t="s">
        <v>54</v>
      </c>
    </row>
    <row r="305" spans="1:15" x14ac:dyDescent="0.35">
      <c r="A305" s="5" t="s">
        <v>834</v>
      </c>
      <c r="B305" s="7" t="s">
        <v>517</v>
      </c>
      <c r="C305" s="7" t="s">
        <v>153</v>
      </c>
      <c r="D305" s="7" t="s">
        <v>48</v>
      </c>
      <c r="E305" s="7" t="s">
        <v>49</v>
      </c>
      <c r="F305" s="7" t="s">
        <v>55</v>
      </c>
      <c r="G305" s="7" t="s">
        <v>26</v>
      </c>
      <c r="H305" s="7" t="s">
        <v>52</v>
      </c>
      <c r="I305" s="7" t="s">
        <v>60</v>
      </c>
      <c r="J305" s="7"/>
      <c r="K305" s="7"/>
      <c r="L305" s="7"/>
      <c r="M305" s="5" t="s">
        <v>56</v>
      </c>
      <c r="N305" s="5" t="s">
        <v>56</v>
      </c>
      <c r="O305" s="7" t="s">
        <v>54</v>
      </c>
    </row>
    <row r="306" spans="1:15" x14ac:dyDescent="0.35">
      <c r="A306" s="5" t="s">
        <v>842</v>
      </c>
      <c r="B306" s="7" t="s">
        <v>604</v>
      </c>
      <c r="C306" s="7" t="s">
        <v>240</v>
      </c>
      <c r="D306" s="7" t="s">
        <v>48</v>
      </c>
      <c r="E306" s="7" t="s">
        <v>49</v>
      </c>
      <c r="F306" s="7" t="s">
        <v>55</v>
      </c>
      <c r="G306" s="7" t="s">
        <v>32</v>
      </c>
      <c r="H306" s="7" t="s">
        <v>52</v>
      </c>
      <c r="I306" s="7" t="s">
        <v>52</v>
      </c>
      <c r="J306" s="7"/>
      <c r="K306" s="7"/>
      <c r="L306" s="7"/>
      <c r="M306" s="5" t="s">
        <v>57</v>
      </c>
      <c r="N306" s="5" t="s">
        <v>57</v>
      </c>
      <c r="O306" s="7" t="s">
        <v>54</v>
      </c>
    </row>
    <row r="307" spans="1:15" x14ac:dyDescent="0.35">
      <c r="A307" s="5" t="s">
        <v>889</v>
      </c>
      <c r="B307" s="6" t="s">
        <v>527</v>
      </c>
      <c r="C307" s="6" t="s">
        <v>163</v>
      </c>
      <c r="D307" s="7" t="s">
        <v>48</v>
      </c>
      <c r="E307" s="7" t="s">
        <v>49</v>
      </c>
      <c r="F307" s="7" t="s">
        <v>55</v>
      </c>
      <c r="G307" s="7" t="s">
        <v>26</v>
      </c>
      <c r="H307" s="7" t="s">
        <v>51</v>
      </c>
      <c r="I307" s="7" t="s">
        <v>52</v>
      </c>
      <c r="J307" s="7" t="s">
        <v>51</v>
      </c>
      <c r="K307" s="7" t="s">
        <v>51</v>
      </c>
      <c r="L307" s="7"/>
      <c r="M307" s="5" t="s">
        <v>59</v>
      </c>
      <c r="N307" s="5" t="s">
        <v>59</v>
      </c>
      <c r="O307" s="7" t="s">
        <v>54</v>
      </c>
    </row>
    <row r="308" spans="1:15" x14ac:dyDescent="0.35">
      <c r="A308" s="5" t="s">
        <v>880</v>
      </c>
      <c r="B308" s="7" t="s">
        <v>766</v>
      </c>
      <c r="C308" s="7" t="s">
        <v>402</v>
      </c>
      <c r="D308" s="7" t="s">
        <v>48</v>
      </c>
      <c r="E308" s="7" t="s">
        <v>49</v>
      </c>
      <c r="F308" s="7" t="s">
        <v>50</v>
      </c>
      <c r="G308" s="7" t="s">
        <v>15</v>
      </c>
      <c r="H308" s="7" t="s">
        <v>52</v>
      </c>
      <c r="I308" s="7" t="s">
        <v>52</v>
      </c>
      <c r="J308" s="7"/>
      <c r="K308" s="7"/>
      <c r="L308" s="7"/>
      <c r="M308" s="5" t="s">
        <v>59</v>
      </c>
      <c r="N308" s="5" t="s">
        <v>59</v>
      </c>
      <c r="O308" s="7" t="s">
        <v>54</v>
      </c>
    </row>
    <row r="309" spans="1:15" x14ac:dyDescent="0.35">
      <c r="A309" s="5" t="s">
        <v>861</v>
      </c>
      <c r="B309" s="7" t="s">
        <v>679</v>
      </c>
      <c r="C309" s="7" t="s">
        <v>315</v>
      </c>
      <c r="D309" s="6" t="s">
        <v>48</v>
      </c>
      <c r="E309" s="6" t="s">
        <v>49</v>
      </c>
      <c r="F309" s="6" t="s">
        <v>50</v>
      </c>
      <c r="G309" s="6" t="s">
        <v>7</v>
      </c>
      <c r="H309" s="6" t="s">
        <v>52</v>
      </c>
      <c r="I309" s="6" t="s">
        <v>52</v>
      </c>
      <c r="J309" s="6"/>
      <c r="K309" s="6"/>
      <c r="L309" s="6"/>
      <c r="M309" s="5" t="s">
        <v>59</v>
      </c>
      <c r="N309" s="5" t="s">
        <v>59</v>
      </c>
      <c r="O309" s="6" t="s">
        <v>54</v>
      </c>
    </row>
    <row r="310" spans="1:15" x14ac:dyDescent="0.35">
      <c r="A310" s="5" t="s">
        <v>929</v>
      </c>
      <c r="B310" s="6" t="s">
        <v>630</v>
      </c>
      <c r="C310" s="6" t="s">
        <v>266</v>
      </c>
      <c r="D310" s="6" t="s">
        <v>48</v>
      </c>
      <c r="E310" s="6" t="s">
        <v>49</v>
      </c>
      <c r="F310" s="6" t="s">
        <v>50</v>
      </c>
      <c r="G310" s="6" t="s">
        <v>0</v>
      </c>
      <c r="H310" s="6" t="s">
        <v>52</v>
      </c>
      <c r="I310" s="6" t="s">
        <v>52</v>
      </c>
      <c r="J310" s="6"/>
      <c r="K310" s="6"/>
      <c r="L310" s="6"/>
      <c r="M310" s="5" t="s">
        <v>69</v>
      </c>
      <c r="N310" s="5" t="s">
        <v>69</v>
      </c>
      <c r="O310" s="6" t="s">
        <v>54</v>
      </c>
    </row>
    <row r="311" spans="1:15" x14ac:dyDescent="0.35">
      <c r="A311" s="5" t="s">
        <v>880</v>
      </c>
      <c r="B311" s="7" t="s">
        <v>763</v>
      </c>
      <c r="C311" s="7" t="s">
        <v>399</v>
      </c>
      <c r="D311" s="6" t="s">
        <v>48</v>
      </c>
      <c r="E311" s="6" t="s">
        <v>49</v>
      </c>
      <c r="F311" s="6" t="s">
        <v>50</v>
      </c>
      <c r="G311" s="6" t="s">
        <v>9</v>
      </c>
      <c r="H311" s="6" t="s">
        <v>51</v>
      </c>
      <c r="I311" s="6" t="s">
        <v>52</v>
      </c>
      <c r="J311" s="6" t="s">
        <v>51</v>
      </c>
      <c r="K311" s="6"/>
      <c r="L311" s="6"/>
      <c r="M311" s="5" t="s">
        <v>59</v>
      </c>
      <c r="N311" s="5" t="s">
        <v>59</v>
      </c>
      <c r="O311" s="6" t="s">
        <v>54</v>
      </c>
    </row>
    <row r="312" spans="1:15" x14ac:dyDescent="0.35">
      <c r="A312" s="5" t="s">
        <v>842</v>
      </c>
      <c r="B312" s="7" t="s">
        <v>478</v>
      </c>
      <c r="C312" s="7" t="s">
        <v>114</v>
      </c>
      <c r="D312" s="7" t="s">
        <v>48</v>
      </c>
      <c r="E312" s="7" t="s">
        <v>49</v>
      </c>
      <c r="F312" s="7" t="s">
        <v>55</v>
      </c>
      <c r="G312" s="7" t="s">
        <v>9</v>
      </c>
      <c r="H312" s="7" t="s">
        <v>52</v>
      </c>
      <c r="I312" s="7" t="s">
        <v>64</v>
      </c>
      <c r="J312" s="7"/>
      <c r="K312" s="7"/>
      <c r="L312" s="7"/>
      <c r="M312" s="5" t="s">
        <v>57</v>
      </c>
      <c r="N312" s="5" t="s">
        <v>57</v>
      </c>
      <c r="O312" s="7" t="s">
        <v>54</v>
      </c>
    </row>
    <row r="313" spans="1:15" x14ac:dyDescent="0.35">
      <c r="A313" s="5" t="s">
        <v>836</v>
      </c>
      <c r="B313" s="6" t="s">
        <v>687</v>
      </c>
      <c r="C313" s="6" t="s">
        <v>323</v>
      </c>
      <c r="D313" s="7" t="s">
        <v>48</v>
      </c>
      <c r="E313" s="7" t="s">
        <v>49</v>
      </c>
      <c r="F313" s="7" t="s">
        <v>50</v>
      </c>
      <c r="G313" s="7" t="s">
        <v>26</v>
      </c>
      <c r="H313" s="7" t="s">
        <v>52</v>
      </c>
      <c r="I313" s="7" t="s">
        <v>52</v>
      </c>
      <c r="J313" s="7"/>
      <c r="K313" s="7"/>
      <c r="L313" s="7"/>
      <c r="M313" s="5" t="s">
        <v>63</v>
      </c>
      <c r="N313" s="5" t="s">
        <v>63</v>
      </c>
      <c r="O313" s="7" t="s">
        <v>54</v>
      </c>
    </row>
    <row r="314" spans="1:15" x14ac:dyDescent="0.35">
      <c r="A314" s="5" t="s">
        <v>864</v>
      </c>
      <c r="B314" s="6" t="s">
        <v>699</v>
      </c>
      <c r="C314" s="6" t="s">
        <v>335</v>
      </c>
      <c r="D314" s="7" t="s">
        <v>48</v>
      </c>
      <c r="E314" s="7" t="s">
        <v>49</v>
      </c>
      <c r="F314" s="7" t="s">
        <v>50</v>
      </c>
      <c r="G314" s="7" t="s">
        <v>26</v>
      </c>
      <c r="H314" s="7" t="s">
        <v>52</v>
      </c>
      <c r="I314" s="7" t="s">
        <v>52</v>
      </c>
      <c r="J314" s="7"/>
      <c r="K314" s="7"/>
      <c r="L314" s="7"/>
      <c r="M314" s="5" t="s">
        <v>57</v>
      </c>
      <c r="N314" s="5" t="s">
        <v>57</v>
      </c>
      <c r="O314" s="7" t="s">
        <v>54</v>
      </c>
    </row>
    <row r="315" spans="1:15" x14ac:dyDescent="0.35">
      <c r="A315" s="5" t="s">
        <v>859</v>
      </c>
      <c r="B315" s="7" t="s">
        <v>658</v>
      </c>
      <c r="C315" s="7" t="s">
        <v>294</v>
      </c>
      <c r="D315" s="7" t="s">
        <v>48</v>
      </c>
      <c r="E315" s="7" t="s">
        <v>49</v>
      </c>
      <c r="F315" s="7" t="s">
        <v>50</v>
      </c>
      <c r="G315" s="7" t="s">
        <v>0</v>
      </c>
      <c r="H315" s="7" t="s">
        <v>52</v>
      </c>
      <c r="I315" s="7" t="s">
        <v>52</v>
      </c>
      <c r="J315" s="7"/>
      <c r="K315" s="7"/>
      <c r="L315" s="7"/>
      <c r="M315" s="5" t="s">
        <v>59</v>
      </c>
      <c r="N315" s="5" t="s">
        <v>59</v>
      </c>
      <c r="O315" s="7" t="s">
        <v>54</v>
      </c>
    </row>
    <row r="316" spans="1:15" x14ac:dyDescent="0.35">
      <c r="A316" s="5" t="s">
        <v>873</v>
      </c>
      <c r="B316" s="6" t="s">
        <v>818</v>
      </c>
      <c r="C316" s="6" t="s">
        <v>454</v>
      </c>
      <c r="D316" s="6" t="s">
        <v>48</v>
      </c>
      <c r="E316" s="6" t="s">
        <v>49</v>
      </c>
      <c r="F316" s="6" t="s">
        <v>50</v>
      </c>
      <c r="G316" s="6" t="s">
        <v>9</v>
      </c>
      <c r="H316" s="6" t="s">
        <v>52</v>
      </c>
      <c r="I316" s="6" t="s">
        <v>60</v>
      </c>
      <c r="J316" s="6" t="s">
        <v>51</v>
      </c>
      <c r="K316" s="6"/>
      <c r="L316" s="6"/>
      <c r="M316" s="5" t="s">
        <v>57</v>
      </c>
      <c r="N316" s="5" t="s">
        <v>57</v>
      </c>
      <c r="O316" s="6" t="s">
        <v>54</v>
      </c>
    </row>
    <row r="317" spans="1:15" x14ac:dyDescent="0.35">
      <c r="A317" s="5" t="s">
        <v>850</v>
      </c>
      <c r="B317" s="7" t="s">
        <v>565</v>
      </c>
      <c r="C317" s="7" t="s">
        <v>201</v>
      </c>
      <c r="D317" s="7" t="s">
        <v>48</v>
      </c>
      <c r="E317" s="7" t="s">
        <v>49</v>
      </c>
      <c r="F317" s="7" t="s">
        <v>50</v>
      </c>
      <c r="G317" s="7" t="s">
        <v>9</v>
      </c>
      <c r="H317" s="7" t="s">
        <v>52</v>
      </c>
      <c r="I317" s="7" t="s">
        <v>52</v>
      </c>
      <c r="J317" s="7" t="s">
        <v>51</v>
      </c>
      <c r="K317" s="7"/>
      <c r="L317" s="7"/>
      <c r="M317" s="5" t="s">
        <v>57</v>
      </c>
      <c r="N317" s="5" t="s">
        <v>57</v>
      </c>
      <c r="O317" s="7" t="s">
        <v>54</v>
      </c>
    </row>
    <row r="318" spans="1:15" x14ac:dyDescent="0.35">
      <c r="A318" s="5" t="s">
        <v>875</v>
      </c>
      <c r="B318" s="6" t="s">
        <v>764</v>
      </c>
      <c r="C318" s="6" t="s">
        <v>400</v>
      </c>
      <c r="D318" s="7" t="s">
        <v>48</v>
      </c>
      <c r="E318" s="7" t="s">
        <v>49</v>
      </c>
      <c r="F318" s="7" t="s">
        <v>50</v>
      </c>
      <c r="G318" s="7" t="s">
        <v>26</v>
      </c>
      <c r="H318" s="7" t="s">
        <v>52</v>
      </c>
      <c r="I318" s="7" t="s">
        <v>60</v>
      </c>
      <c r="J318" s="7"/>
      <c r="K318" s="7"/>
      <c r="L318" s="7"/>
      <c r="M318" s="5" t="s">
        <v>67</v>
      </c>
      <c r="N318" s="5" t="s">
        <v>67</v>
      </c>
      <c r="O318" s="7" t="s">
        <v>54</v>
      </c>
    </row>
    <row r="319" spans="1:15" x14ac:dyDescent="0.35">
      <c r="A319" s="5" t="s">
        <v>836</v>
      </c>
      <c r="B319" s="6" t="s">
        <v>737</v>
      </c>
      <c r="C319" s="6" t="s">
        <v>373</v>
      </c>
      <c r="D319" s="6" t="s">
        <v>48</v>
      </c>
      <c r="E319" s="6" t="s">
        <v>49</v>
      </c>
      <c r="F319" s="6" t="s">
        <v>50</v>
      </c>
      <c r="G319" s="6" t="s">
        <v>0</v>
      </c>
      <c r="H319" s="6" t="s">
        <v>52</v>
      </c>
      <c r="I319" s="6" t="s">
        <v>52</v>
      </c>
      <c r="J319" s="6" t="s">
        <v>51</v>
      </c>
      <c r="K319" s="6"/>
      <c r="L319" s="6"/>
      <c r="M319" s="5" t="s">
        <v>63</v>
      </c>
      <c r="N319" s="5" t="s">
        <v>63</v>
      </c>
      <c r="O319" s="6" t="s">
        <v>54</v>
      </c>
    </row>
    <row r="320" spans="1:15" x14ac:dyDescent="0.35">
      <c r="A320" s="5" t="s">
        <v>831</v>
      </c>
      <c r="B320" s="6" t="s">
        <v>600</v>
      </c>
      <c r="C320" s="6" t="s">
        <v>236</v>
      </c>
      <c r="D320" s="7" t="s">
        <v>48</v>
      </c>
      <c r="E320" s="7" t="s">
        <v>49</v>
      </c>
      <c r="F320" s="7" t="s">
        <v>55</v>
      </c>
      <c r="G320" s="7" t="s">
        <v>26</v>
      </c>
      <c r="H320" s="7" t="s">
        <v>52</v>
      </c>
      <c r="I320" s="7" t="s">
        <v>60</v>
      </c>
      <c r="J320" s="7" t="s">
        <v>51</v>
      </c>
      <c r="K320" s="7"/>
      <c r="L320" s="7"/>
      <c r="M320" s="5" t="s">
        <v>59</v>
      </c>
      <c r="N320" s="5" t="s">
        <v>59</v>
      </c>
      <c r="O320" s="7" t="s">
        <v>54</v>
      </c>
    </row>
    <row r="321" spans="1:15" x14ac:dyDescent="0.35">
      <c r="A321" s="5" t="s">
        <v>860</v>
      </c>
      <c r="B321" s="6" t="s">
        <v>779</v>
      </c>
      <c r="C321" s="6" t="s">
        <v>415</v>
      </c>
      <c r="D321" s="6" t="s">
        <v>48</v>
      </c>
      <c r="E321" s="6" t="s">
        <v>49</v>
      </c>
      <c r="F321" s="6" t="s">
        <v>55</v>
      </c>
      <c r="G321" s="6" t="s">
        <v>22</v>
      </c>
      <c r="H321" s="6" t="s">
        <v>52</v>
      </c>
      <c r="I321" s="6" t="s">
        <v>60</v>
      </c>
      <c r="J321" s="6" t="s">
        <v>51</v>
      </c>
      <c r="K321" s="6"/>
      <c r="L321" s="6" t="s">
        <v>68</v>
      </c>
      <c r="M321" s="5" t="s">
        <v>63</v>
      </c>
      <c r="N321" s="5" t="s">
        <v>63</v>
      </c>
      <c r="O321" s="6" t="s">
        <v>54</v>
      </c>
    </row>
    <row r="322" spans="1:15" x14ac:dyDescent="0.35">
      <c r="A322" s="5" t="s">
        <v>930</v>
      </c>
      <c r="B322" s="6" t="s">
        <v>801</v>
      </c>
      <c r="C322" s="6" t="s">
        <v>437</v>
      </c>
      <c r="D322" s="7" t="s">
        <v>48</v>
      </c>
      <c r="E322" s="7" t="s">
        <v>49</v>
      </c>
      <c r="F322" s="7" t="s">
        <v>55</v>
      </c>
      <c r="G322" s="7" t="s">
        <v>5</v>
      </c>
      <c r="H322" s="7" t="s">
        <v>52</v>
      </c>
      <c r="I322" s="7" t="s">
        <v>52</v>
      </c>
      <c r="J322" s="7" t="s">
        <v>51</v>
      </c>
      <c r="K322" s="7"/>
      <c r="L322" s="7"/>
      <c r="M322" s="5" t="s">
        <v>66</v>
      </c>
      <c r="N322" s="5" t="s">
        <v>66</v>
      </c>
      <c r="O322" s="7" t="s">
        <v>54</v>
      </c>
    </row>
    <row r="323" spans="1:15" x14ac:dyDescent="0.35">
      <c r="A323" s="5" t="s">
        <v>877</v>
      </c>
      <c r="B323" s="6" t="s">
        <v>668</v>
      </c>
      <c r="C323" s="6" t="s">
        <v>304</v>
      </c>
      <c r="D323" s="7" t="s">
        <v>48</v>
      </c>
      <c r="E323" s="7" t="s">
        <v>49</v>
      </c>
      <c r="F323" s="7" t="s">
        <v>50</v>
      </c>
      <c r="G323" s="7" t="s">
        <v>9</v>
      </c>
      <c r="H323" s="7" t="s">
        <v>52</v>
      </c>
      <c r="I323" s="7" t="s">
        <v>52</v>
      </c>
      <c r="J323" s="7"/>
      <c r="K323" s="7"/>
      <c r="L323" s="7"/>
      <c r="M323" s="5" t="s">
        <v>63</v>
      </c>
      <c r="N323" s="5" t="s">
        <v>63</v>
      </c>
      <c r="O323" s="7" t="s">
        <v>54</v>
      </c>
    </row>
    <row r="324" spans="1:15" x14ac:dyDescent="0.35">
      <c r="A324" s="5" t="s">
        <v>861</v>
      </c>
      <c r="B324" s="6" t="s">
        <v>605</v>
      </c>
      <c r="C324" s="6" t="s">
        <v>241</v>
      </c>
      <c r="D324" s="6" t="s">
        <v>48</v>
      </c>
      <c r="E324" s="6" t="s">
        <v>49</v>
      </c>
      <c r="F324" s="6" t="s">
        <v>50</v>
      </c>
      <c r="G324" s="6" t="s">
        <v>8</v>
      </c>
      <c r="H324" s="6" t="s">
        <v>52</v>
      </c>
      <c r="I324" s="6" t="s">
        <v>60</v>
      </c>
      <c r="J324" s="6" t="s">
        <v>51</v>
      </c>
      <c r="K324" s="6" t="s">
        <v>51</v>
      </c>
      <c r="L324" s="6"/>
      <c r="M324" s="5" t="s">
        <v>59</v>
      </c>
      <c r="N324" s="5" t="s">
        <v>59</v>
      </c>
      <c r="O324" s="6" t="s">
        <v>54</v>
      </c>
    </row>
    <row r="325" spans="1:15" x14ac:dyDescent="0.35">
      <c r="A325" s="5" t="s">
        <v>841</v>
      </c>
      <c r="B325" s="6" t="s">
        <v>509</v>
      </c>
      <c r="C325" s="6" t="s">
        <v>145</v>
      </c>
      <c r="D325" s="6" t="s">
        <v>48</v>
      </c>
      <c r="E325" s="6" t="s">
        <v>49</v>
      </c>
      <c r="F325" s="6" t="s">
        <v>50</v>
      </c>
      <c r="G325" s="6" t="s">
        <v>2</v>
      </c>
      <c r="H325" s="6" t="s">
        <v>52</v>
      </c>
      <c r="I325" s="6" t="s">
        <v>52</v>
      </c>
      <c r="J325" s="6"/>
      <c r="K325" s="6"/>
      <c r="L325" s="6"/>
      <c r="M325" s="5" t="s">
        <v>57</v>
      </c>
      <c r="N325" s="5" t="s">
        <v>57</v>
      </c>
      <c r="O325" s="6" t="s">
        <v>54</v>
      </c>
    </row>
    <row r="326" spans="1:15" x14ac:dyDescent="0.35">
      <c r="A326" s="5" t="s">
        <v>872</v>
      </c>
      <c r="B326" s="6" t="s">
        <v>707</v>
      </c>
      <c r="C326" s="6" t="s">
        <v>343</v>
      </c>
      <c r="D326" s="7" t="s">
        <v>48</v>
      </c>
      <c r="E326" s="7" t="s">
        <v>49</v>
      </c>
      <c r="F326" s="7" t="s">
        <v>55</v>
      </c>
      <c r="G326" s="7" t="s">
        <v>5</v>
      </c>
      <c r="H326" s="7" t="s">
        <v>52</v>
      </c>
      <c r="I326" s="7" t="s">
        <v>52</v>
      </c>
      <c r="J326" s="7"/>
      <c r="K326" s="7"/>
      <c r="L326" s="7"/>
      <c r="M326" s="5" t="s">
        <v>57</v>
      </c>
      <c r="N326" s="5" t="s">
        <v>57</v>
      </c>
      <c r="O326" s="7" t="s">
        <v>54</v>
      </c>
    </row>
    <row r="327" spans="1:15" x14ac:dyDescent="0.35">
      <c r="A327" s="5" t="s">
        <v>927</v>
      </c>
      <c r="B327" s="7" t="s">
        <v>781</v>
      </c>
      <c r="C327" s="7" t="s">
        <v>417</v>
      </c>
      <c r="D327" s="6" t="s">
        <v>48</v>
      </c>
      <c r="E327" s="6" t="s">
        <v>49</v>
      </c>
      <c r="F327" s="6" t="s">
        <v>55</v>
      </c>
      <c r="G327" s="6" t="s">
        <v>5</v>
      </c>
      <c r="H327" s="6" t="s">
        <v>52</v>
      </c>
      <c r="I327" s="6" t="s">
        <v>52</v>
      </c>
      <c r="J327" s="6"/>
      <c r="K327" s="6"/>
      <c r="L327" s="6"/>
      <c r="M327" s="5" t="s">
        <v>61</v>
      </c>
      <c r="N327" s="5" t="s">
        <v>61</v>
      </c>
      <c r="O327" s="6" t="s">
        <v>54</v>
      </c>
    </row>
    <row r="328" spans="1:15" x14ac:dyDescent="0.35">
      <c r="A328" s="5" t="s">
        <v>857</v>
      </c>
      <c r="B328" s="6" t="s">
        <v>782</v>
      </c>
      <c r="C328" s="6" t="s">
        <v>418</v>
      </c>
      <c r="D328" s="7" t="s">
        <v>48</v>
      </c>
      <c r="E328" s="7" t="s">
        <v>49</v>
      </c>
      <c r="F328" s="7" t="s">
        <v>50</v>
      </c>
      <c r="G328" s="7" t="s">
        <v>5</v>
      </c>
      <c r="H328" s="7" t="s">
        <v>51</v>
      </c>
      <c r="I328" s="7" t="s">
        <v>52</v>
      </c>
      <c r="J328" s="7" t="s">
        <v>51</v>
      </c>
      <c r="K328" s="7" t="s">
        <v>51</v>
      </c>
      <c r="L328" s="7"/>
      <c r="M328" s="5" t="s">
        <v>67</v>
      </c>
      <c r="N328" s="5" t="s">
        <v>67</v>
      </c>
      <c r="O328" s="7" t="s">
        <v>54</v>
      </c>
    </row>
    <row r="329" spans="1:15" x14ac:dyDescent="0.35">
      <c r="A329" s="5" t="s">
        <v>893</v>
      </c>
      <c r="B329" s="6" t="s">
        <v>626</v>
      </c>
      <c r="C329" s="6" t="s">
        <v>262</v>
      </c>
      <c r="D329" s="6" t="s">
        <v>48</v>
      </c>
      <c r="E329" s="6" t="s">
        <v>49</v>
      </c>
      <c r="F329" s="6" t="s">
        <v>55</v>
      </c>
      <c r="G329" s="6" t="s">
        <v>26</v>
      </c>
      <c r="H329" s="6" t="s">
        <v>52</v>
      </c>
      <c r="I329" s="6" t="s">
        <v>52</v>
      </c>
      <c r="J329" s="6"/>
      <c r="K329" s="6"/>
      <c r="L329" s="6"/>
      <c r="M329" s="5" t="s">
        <v>67</v>
      </c>
      <c r="N329" s="5" t="s">
        <v>67</v>
      </c>
      <c r="O329" s="6" t="s">
        <v>54</v>
      </c>
    </row>
    <row r="330" spans="1:15" x14ac:dyDescent="0.35">
      <c r="A330" s="5" t="s">
        <v>877</v>
      </c>
      <c r="B330" s="7" t="s">
        <v>577</v>
      </c>
      <c r="C330" s="7" t="s">
        <v>213</v>
      </c>
      <c r="D330" s="7" t="s">
        <v>48</v>
      </c>
      <c r="E330" s="7" t="s">
        <v>49</v>
      </c>
      <c r="F330" s="7" t="s">
        <v>50</v>
      </c>
      <c r="G330" s="7" t="s">
        <v>26</v>
      </c>
      <c r="H330" s="7" t="s">
        <v>52</v>
      </c>
      <c r="I330" s="7" t="s">
        <v>52</v>
      </c>
      <c r="J330" s="7"/>
      <c r="K330" s="7"/>
      <c r="L330" s="7"/>
      <c r="M330" s="5" t="s">
        <v>63</v>
      </c>
      <c r="N330" s="5" t="s">
        <v>63</v>
      </c>
      <c r="O330" s="7" t="s">
        <v>54</v>
      </c>
    </row>
    <row r="331" spans="1:15" x14ac:dyDescent="0.35">
      <c r="A331" s="5" t="s">
        <v>843</v>
      </c>
      <c r="B331" s="6" t="s">
        <v>609</v>
      </c>
      <c r="C331" s="6" t="s">
        <v>245</v>
      </c>
      <c r="D331" s="6" t="s">
        <v>48</v>
      </c>
      <c r="E331" s="6" t="s">
        <v>49</v>
      </c>
      <c r="F331" s="6" t="s">
        <v>50</v>
      </c>
      <c r="G331" s="6" t="s">
        <v>9</v>
      </c>
      <c r="H331" s="6" t="s">
        <v>52</v>
      </c>
      <c r="I331" s="6" t="s">
        <v>52</v>
      </c>
      <c r="J331" s="6"/>
      <c r="K331" s="6"/>
      <c r="L331" s="6"/>
      <c r="M331" s="5" t="s">
        <v>67</v>
      </c>
      <c r="N331" s="5" t="s">
        <v>67</v>
      </c>
      <c r="O331" s="6" t="s">
        <v>54</v>
      </c>
    </row>
    <row r="332" spans="1:15" x14ac:dyDescent="0.35">
      <c r="A332" s="5" t="s">
        <v>838</v>
      </c>
      <c r="B332" s="6" t="s">
        <v>653</v>
      </c>
      <c r="C332" s="6" t="s">
        <v>289</v>
      </c>
      <c r="D332" s="7" t="s">
        <v>48</v>
      </c>
      <c r="E332" s="7" t="s">
        <v>49</v>
      </c>
      <c r="F332" s="7" t="s">
        <v>55</v>
      </c>
      <c r="G332" s="7" t="s">
        <v>9</v>
      </c>
      <c r="H332" s="7" t="s">
        <v>52</v>
      </c>
      <c r="I332" s="7" t="s">
        <v>52</v>
      </c>
      <c r="J332" s="7" t="s">
        <v>51</v>
      </c>
      <c r="K332" s="7" t="s">
        <v>51</v>
      </c>
      <c r="L332" s="7" t="s">
        <v>91</v>
      </c>
      <c r="M332" s="5" t="s">
        <v>61</v>
      </c>
      <c r="N332" s="5" t="s">
        <v>61</v>
      </c>
      <c r="O332" s="7" t="s">
        <v>54</v>
      </c>
    </row>
    <row r="333" spans="1:15" x14ac:dyDescent="0.35">
      <c r="A333" s="5" t="s">
        <v>931</v>
      </c>
      <c r="B333" s="6" t="s">
        <v>587</v>
      </c>
      <c r="C333" s="6" t="s">
        <v>223</v>
      </c>
      <c r="D333" s="6" t="s">
        <v>48</v>
      </c>
      <c r="E333" s="6" t="s">
        <v>49</v>
      </c>
      <c r="F333" s="6" t="s">
        <v>55</v>
      </c>
      <c r="G333" s="6" t="s">
        <v>9</v>
      </c>
      <c r="H333" s="6" t="s">
        <v>52</v>
      </c>
      <c r="I333" s="6" t="s">
        <v>60</v>
      </c>
      <c r="J333" s="6" t="s">
        <v>51</v>
      </c>
      <c r="K333" s="6" t="s">
        <v>51</v>
      </c>
      <c r="L333" s="6" t="s">
        <v>76</v>
      </c>
      <c r="M333" s="5" t="s">
        <v>61</v>
      </c>
      <c r="N333" s="5" t="s">
        <v>61</v>
      </c>
      <c r="O333" s="6" t="s">
        <v>54</v>
      </c>
    </row>
    <row r="334" spans="1:15" x14ac:dyDescent="0.35">
      <c r="A334" s="5" t="s">
        <v>932</v>
      </c>
      <c r="B334" s="6" t="s">
        <v>551</v>
      </c>
      <c r="C334" s="6" t="s">
        <v>187</v>
      </c>
      <c r="D334" s="7" t="s">
        <v>48</v>
      </c>
      <c r="E334" s="7" t="s">
        <v>49</v>
      </c>
      <c r="F334" s="7" t="s">
        <v>55</v>
      </c>
      <c r="G334" s="7" t="s">
        <v>29</v>
      </c>
      <c r="H334" s="7" t="s">
        <v>51</v>
      </c>
      <c r="I334" s="7" t="s">
        <v>60</v>
      </c>
      <c r="J334" s="7" t="s">
        <v>51</v>
      </c>
      <c r="K334" s="7" t="s">
        <v>51</v>
      </c>
      <c r="L334" s="7"/>
      <c r="M334" s="5" t="s">
        <v>73</v>
      </c>
      <c r="N334" s="5" t="s">
        <v>73</v>
      </c>
      <c r="O334" s="7" t="s">
        <v>54</v>
      </c>
    </row>
    <row r="335" spans="1:15" x14ac:dyDescent="0.35">
      <c r="A335" s="5" t="s">
        <v>846</v>
      </c>
      <c r="B335" s="7" t="s">
        <v>700</v>
      </c>
      <c r="C335" s="7" t="s">
        <v>336</v>
      </c>
      <c r="D335" s="6" t="s">
        <v>48</v>
      </c>
      <c r="E335" s="6" t="s">
        <v>49</v>
      </c>
      <c r="F335" s="6" t="s">
        <v>50</v>
      </c>
      <c r="G335" s="6" t="s">
        <v>9</v>
      </c>
      <c r="H335" s="6" t="s">
        <v>52</v>
      </c>
      <c r="I335" s="6" t="s">
        <v>52</v>
      </c>
      <c r="J335" s="6" t="s">
        <v>51</v>
      </c>
      <c r="K335" s="6"/>
      <c r="L335" s="6"/>
      <c r="M335" s="5" t="s">
        <v>57</v>
      </c>
      <c r="N335" s="5" t="s">
        <v>57</v>
      </c>
      <c r="O335" s="6" t="s">
        <v>54</v>
      </c>
    </row>
    <row r="336" spans="1:15" x14ac:dyDescent="0.35">
      <c r="A336" s="5" t="s">
        <v>841</v>
      </c>
      <c r="B336" s="6" t="s">
        <v>567</v>
      </c>
      <c r="C336" s="6" t="s">
        <v>203</v>
      </c>
      <c r="D336" s="7" t="s">
        <v>48</v>
      </c>
      <c r="E336" s="7" t="s">
        <v>49</v>
      </c>
      <c r="F336" s="7" t="s">
        <v>50</v>
      </c>
      <c r="G336" s="7" t="s">
        <v>5</v>
      </c>
      <c r="H336" s="7" t="s">
        <v>52</v>
      </c>
      <c r="I336" s="7" t="s">
        <v>52</v>
      </c>
      <c r="J336" s="7"/>
      <c r="K336" s="7"/>
      <c r="L336" s="7"/>
      <c r="M336" s="5" t="s">
        <v>57</v>
      </c>
      <c r="N336" s="5" t="s">
        <v>57</v>
      </c>
      <c r="O336" s="7" t="s">
        <v>54</v>
      </c>
    </row>
    <row r="337" spans="1:15" x14ac:dyDescent="0.35">
      <c r="A337" s="5" t="s">
        <v>842</v>
      </c>
      <c r="B337" s="6" t="s">
        <v>476</v>
      </c>
      <c r="C337" s="6" t="s">
        <v>112</v>
      </c>
      <c r="D337" s="7" t="s">
        <v>48</v>
      </c>
      <c r="E337" s="7" t="s">
        <v>49</v>
      </c>
      <c r="F337" s="7" t="s">
        <v>55</v>
      </c>
      <c r="G337" s="7" t="s">
        <v>18</v>
      </c>
      <c r="H337" s="7" t="s">
        <v>52</v>
      </c>
      <c r="I337" s="7" t="s">
        <v>52</v>
      </c>
      <c r="J337" s="7"/>
      <c r="K337" s="7"/>
      <c r="L337" s="7"/>
      <c r="M337" s="5" t="s">
        <v>57</v>
      </c>
      <c r="N337" s="5" t="s">
        <v>57</v>
      </c>
      <c r="O337" s="7" t="s">
        <v>54</v>
      </c>
    </row>
    <row r="338" spans="1:15" x14ac:dyDescent="0.35">
      <c r="A338" s="5" t="s">
        <v>841</v>
      </c>
      <c r="B338" s="7" t="s">
        <v>706</v>
      </c>
      <c r="C338" s="7" t="s">
        <v>342</v>
      </c>
      <c r="D338" s="6" t="s">
        <v>48</v>
      </c>
      <c r="E338" s="6" t="s">
        <v>49</v>
      </c>
      <c r="F338" s="6" t="s">
        <v>50</v>
      </c>
      <c r="G338" s="6" t="s">
        <v>13</v>
      </c>
      <c r="H338" s="6" t="s">
        <v>52</v>
      </c>
      <c r="I338" s="6" t="s">
        <v>52</v>
      </c>
      <c r="J338" s="6"/>
      <c r="K338" s="6"/>
      <c r="L338" s="6"/>
      <c r="M338" s="5" t="s">
        <v>57</v>
      </c>
      <c r="N338" s="5" t="s">
        <v>57</v>
      </c>
      <c r="O338" s="6" t="s">
        <v>54</v>
      </c>
    </row>
    <row r="339" spans="1:15" x14ac:dyDescent="0.35">
      <c r="A339" s="5" t="s">
        <v>933</v>
      </c>
      <c r="B339" s="7" t="s">
        <v>652</v>
      </c>
      <c r="C339" s="7" t="s">
        <v>288</v>
      </c>
      <c r="D339" s="6" t="s">
        <v>48</v>
      </c>
      <c r="E339" s="6" t="s">
        <v>49</v>
      </c>
      <c r="F339" s="6" t="s">
        <v>50</v>
      </c>
      <c r="G339" s="6" t="s">
        <v>5</v>
      </c>
      <c r="H339" s="6" t="s">
        <v>51</v>
      </c>
      <c r="I339" s="6" t="s">
        <v>52</v>
      </c>
      <c r="J339" s="6" t="s">
        <v>51</v>
      </c>
      <c r="K339" s="6" t="s">
        <v>51</v>
      </c>
      <c r="L339" s="6"/>
      <c r="M339" s="5" t="s">
        <v>90</v>
      </c>
      <c r="N339" s="5" t="s">
        <v>90</v>
      </c>
      <c r="O339" s="6" t="s">
        <v>54</v>
      </c>
    </row>
    <row r="340" spans="1:15" x14ac:dyDescent="0.35">
      <c r="A340" s="5" t="s">
        <v>881</v>
      </c>
      <c r="B340" s="7" t="s">
        <v>655</v>
      </c>
      <c r="C340" s="7" t="s">
        <v>291</v>
      </c>
      <c r="D340" s="7" t="s">
        <v>48</v>
      </c>
      <c r="E340" s="7" t="s">
        <v>49</v>
      </c>
      <c r="F340" s="7" t="s">
        <v>50</v>
      </c>
      <c r="G340" s="7" t="s">
        <v>9</v>
      </c>
      <c r="H340" s="7" t="s">
        <v>52</v>
      </c>
      <c r="I340" s="7" t="s">
        <v>52</v>
      </c>
      <c r="J340" s="7" t="s">
        <v>51</v>
      </c>
      <c r="K340" s="7"/>
      <c r="L340" s="7"/>
      <c r="M340" s="5" t="s">
        <v>67</v>
      </c>
      <c r="N340" s="5" t="s">
        <v>67</v>
      </c>
      <c r="O340" s="7" t="s">
        <v>54</v>
      </c>
    </row>
    <row r="341" spans="1:15" x14ac:dyDescent="0.35">
      <c r="A341" s="5" t="s">
        <v>860</v>
      </c>
      <c r="B341" s="7" t="s">
        <v>814</v>
      </c>
      <c r="C341" s="7" t="s">
        <v>450</v>
      </c>
      <c r="D341" s="6" t="s">
        <v>48</v>
      </c>
      <c r="E341" s="6" t="s">
        <v>49</v>
      </c>
      <c r="F341" s="6" t="s">
        <v>55</v>
      </c>
      <c r="G341" s="6" t="s">
        <v>5</v>
      </c>
      <c r="H341" s="6" t="s">
        <v>52</v>
      </c>
      <c r="I341" s="6" t="s">
        <v>52</v>
      </c>
      <c r="J341" s="6"/>
      <c r="K341" s="6"/>
      <c r="L341" s="6"/>
      <c r="M341" s="5" t="s">
        <v>63</v>
      </c>
      <c r="N341" s="5" t="s">
        <v>63</v>
      </c>
      <c r="O341" s="6" t="s">
        <v>54</v>
      </c>
    </row>
    <row r="342" spans="1:15" x14ac:dyDescent="0.35">
      <c r="A342" s="5" t="s">
        <v>891</v>
      </c>
      <c r="B342" s="7" t="s">
        <v>544</v>
      </c>
      <c r="C342" s="7" t="s">
        <v>180</v>
      </c>
      <c r="D342" s="6" t="s">
        <v>48</v>
      </c>
      <c r="E342" s="6" t="s">
        <v>49</v>
      </c>
      <c r="F342" s="6" t="s">
        <v>55</v>
      </c>
      <c r="G342" s="6" t="s">
        <v>29</v>
      </c>
      <c r="H342" s="6" t="s">
        <v>52</v>
      </c>
      <c r="I342" s="6" t="s">
        <v>52</v>
      </c>
      <c r="J342" s="6"/>
      <c r="K342" s="6"/>
      <c r="L342" s="6"/>
      <c r="M342" s="5" t="s">
        <v>63</v>
      </c>
      <c r="N342" s="5" t="s">
        <v>63</v>
      </c>
      <c r="O342" s="6" t="s">
        <v>54</v>
      </c>
    </row>
    <row r="343" spans="1:15" x14ac:dyDescent="0.35">
      <c r="A343" s="5" t="s">
        <v>850</v>
      </c>
      <c r="B343" s="6" t="s">
        <v>750</v>
      </c>
      <c r="C343" s="6" t="s">
        <v>386</v>
      </c>
      <c r="D343" s="7" t="s">
        <v>48</v>
      </c>
      <c r="E343" s="7" t="s">
        <v>49</v>
      </c>
      <c r="F343" s="7" t="s">
        <v>50</v>
      </c>
      <c r="G343" s="7" t="s">
        <v>25</v>
      </c>
      <c r="H343" s="7" t="s">
        <v>52</v>
      </c>
      <c r="I343" s="7" t="s">
        <v>52</v>
      </c>
      <c r="J343" s="7" t="s">
        <v>51</v>
      </c>
      <c r="K343" s="7"/>
      <c r="L343" s="7"/>
      <c r="M343" s="5" t="s">
        <v>57</v>
      </c>
      <c r="N343" s="5" t="s">
        <v>57</v>
      </c>
      <c r="O343" s="7" t="s">
        <v>54</v>
      </c>
    </row>
    <row r="344" spans="1:15" x14ac:dyDescent="0.35">
      <c r="A344" s="5" t="s">
        <v>851</v>
      </c>
      <c r="B344" s="6" t="s">
        <v>675</v>
      </c>
      <c r="C344" s="6" t="s">
        <v>311</v>
      </c>
      <c r="D344" s="6" t="s">
        <v>48</v>
      </c>
      <c r="E344" s="6" t="s">
        <v>49</v>
      </c>
      <c r="F344" s="6" t="s">
        <v>55</v>
      </c>
      <c r="G344" s="6" t="s">
        <v>20</v>
      </c>
      <c r="H344" s="6" t="s">
        <v>52</v>
      </c>
      <c r="I344" s="6" t="s">
        <v>52</v>
      </c>
      <c r="J344" s="6"/>
      <c r="K344" s="6"/>
      <c r="L344" s="6"/>
      <c r="M344" s="5" t="s">
        <v>67</v>
      </c>
      <c r="N344" s="5" t="s">
        <v>67</v>
      </c>
      <c r="O344" s="6" t="s">
        <v>54</v>
      </c>
    </row>
    <row r="345" spans="1:15" x14ac:dyDescent="0.35">
      <c r="A345" s="5" t="s">
        <v>831</v>
      </c>
      <c r="B345" s="7" t="s">
        <v>685</v>
      </c>
      <c r="C345" s="7" t="s">
        <v>321</v>
      </c>
      <c r="D345" s="7" t="s">
        <v>48</v>
      </c>
      <c r="E345" s="7" t="s">
        <v>49</v>
      </c>
      <c r="F345" s="7" t="s">
        <v>55</v>
      </c>
      <c r="G345" s="7" t="s">
        <v>21</v>
      </c>
      <c r="H345" s="7" t="s">
        <v>52</v>
      </c>
      <c r="I345" s="7" t="s">
        <v>52</v>
      </c>
      <c r="J345" s="7"/>
      <c r="K345" s="7"/>
      <c r="L345" s="7"/>
      <c r="M345" s="5" t="s">
        <v>59</v>
      </c>
      <c r="N345" s="5" t="s">
        <v>59</v>
      </c>
      <c r="O345" s="7" t="s">
        <v>54</v>
      </c>
    </row>
    <row r="346" spans="1:15" x14ac:dyDescent="0.35">
      <c r="A346" s="5" t="s">
        <v>906</v>
      </c>
      <c r="B346" s="6" t="s">
        <v>593</v>
      </c>
      <c r="C346" s="6" t="s">
        <v>229</v>
      </c>
      <c r="D346" s="6" t="s">
        <v>48</v>
      </c>
      <c r="E346" s="6" t="s">
        <v>49</v>
      </c>
      <c r="F346" s="6" t="s">
        <v>50</v>
      </c>
      <c r="G346" s="6" t="s">
        <v>9</v>
      </c>
      <c r="H346" s="6" t="s">
        <v>52</v>
      </c>
      <c r="I346" s="6" t="s">
        <v>60</v>
      </c>
      <c r="J346" s="6"/>
      <c r="K346" s="6"/>
      <c r="L346" s="6"/>
      <c r="M346" s="5" t="s">
        <v>56</v>
      </c>
      <c r="N346" s="5" t="s">
        <v>56</v>
      </c>
      <c r="O346" s="6" t="s">
        <v>54</v>
      </c>
    </row>
    <row r="347" spans="1:15" x14ac:dyDescent="0.35">
      <c r="A347" s="5" t="s">
        <v>839</v>
      </c>
      <c r="B347" s="7" t="s">
        <v>625</v>
      </c>
      <c r="C347" s="7" t="s">
        <v>261</v>
      </c>
      <c r="D347" s="7" t="s">
        <v>48</v>
      </c>
      <c r="E347" s="7" t="s">
        <v>49</v>
      </c>
      <c r="F347" s="7" t="s">
        <v>55</v>
      </c>
      <c r="G347" s="7" t="s">
        <v>10</v>
      </c>
      <c r="H347" s="7" t="s">
        <v>51</v>
      </c>
      <c r="I347" s="7" t="s">
        <v>52</v>
      </c>
      <c r="J347" s="7"/>
      <c r="K347" s="7"/>
      <c r="L347" s="7"/>
      <c r="M347" s="5" t="s">
        <v>59</v>
      </c>
      <c r="N347" s="5" t="s">
        <v>59</v>
      </c>
      <c r="O347" s="7" t="s">
        <v>54</v>
      </c>
    </row>
    <row r="348" spans="1:15" x14ac:dyDescent="0.35">
      <c r="A348" s="5" t="s">
        <v>855</v>
      </c>
      <c r="B348" s="6" t="s">
        <v>711</v>
      </c>
      <c r="C348" s="6" t="s">
        <v>347</v>
      </c>
      <c r="D348" s="6" t="s">
        <v>48</v>
      </c>
      <c r="E348" s="6" t="s">
        <v>49</v>
      </c>
      <c r="F348" s="6" t="s">
        <v>55</v>
      </c>
      <c r="G348" s="6" t="s">
        <v>31</v>
      </c>
      <c r="H348" s="6" t="s">
        <v>52</v>
      </c>
      <c r="I348" s="6" t="s">
        <v>52</v>
      </c>
      <c r="J348" s="6"/>
      <c r="K348" s="6"/>
      <c r="L348" s="6"/>
      <c r="M348" s="5" t="s">
        <v>57</v>
      </c>
      <c r="N348" s="5" t="s">
        <v>57</v>
      </c>
      <c r="O348" s="6" t="s">
        <v>54</v>
      </c>
    </row>
    <row r="349" spans="1:15" x14ac:dyDescent="0.35">
      <c r="A349" s="5" t="s">
        <v>934</v>
      </c>
      <c r="B349" s="7" t="s">
        <v>616</v>
      </c>
      <c r="C349" s="7" t="s">
        <v>252</v>
      </c>
      <c r="D349" s="7" t="s">
        <v>48</v>
      </c>
      <c r="E349" s="7" t="s">
        <v>49</v>
      </c>
      <c r="F349" s="7" t="s">
        <v>50</v>
      </c>
      <c r="G349" s="7" t="s">
        <v>5</v>
      </c>
      <c r="H349" s="7" t="s">
        <v>52</v>
      </c>
      <c r="I349" s="7" t="s">
        <v>52</v>
      </c>
      <c r="J349" s="7"/>
      <c r="K349" s="7"/>
      <c r="L349" s="7"/>
      <c r="M349" s="5" t="s">
        <v>85</v>
      </c>
      <c r="N349" s="5" t="s">
        <v>85</v>
      </c>
      <c r="O349" s="7" t="s">
        <v>54</v>
      </c>
    </row>
    <row r="350" spans="1:15" x14ac:dyDescent="0.35">
      <c r="A350" s="5" t="s">
        <v>832</v>
      </c>
      <c r="B350" s="7" t="s">
        <v>811</v>
      </c>
      <c r="C350" s="7" t="s">
        <v>447</v>
      </c>
      <c r="D350" s="7" t="s">
        <v>48</v>
      </c>
      <c r="E350" s="7" t="s">
        <v>49</v>
      </c>
      <c r="F350" s="7" t="s">
        <v>50</v>
      </c>
      <c r="G350" s="7" t="s">
        <v>26</v>
      </c>
      <c r="H350" s="7" t="s">
        <v>52</v>
      </c>
      <c r="I350" s="7" t="s">
        <v>52</v>
      </c>
      <c r="J350" s="7" t="s">
        <v>51</v>
      </c>
      <c r="K350" s="7"/>
      <c r="L350" s="7"/>
      <c r="M350" s="5" t="s">
        <v>59</v>
      </c>
      <c r="N350" s="5" t="s">
        <v>59</v>
      </c>
      <c r="O350" s="7" t="s">
        <v>54</v>
      </c>
    </row>
    <row r="351" spans="1:15" x14ac:dyDescent="0.35">
      <c r="A351" s="5" t="s">
        <v>935</v>
      </c>
      <c r="B351" s="6" t="s">
        <v>651</v>
      </c>
      <c r="C351" s="6" t="s">
        <v>287</v>
      </c>
      <c r="D351" s="7" t="s">
        <v>48</v>
      </c>
      <c r="E351" s="7" t="s">
        <v>49</v>
      </c>
      <c r="F351" s="7" t="s">
        <v>50</v>
      </c>
      <c r="G351" s="7" t="s">
        <v>5</v>
      </c>
      <c r="H351" s="7" t="s">
        <v>52</v>
      </c>
      <c r="I351" s="7" t="s">
        <v>52</v>
      </c>
      <c r="J351" s="7" t="s">
        <v>51</v>
      </c>
      <c r="K351" s="7"/>
      <c r="L351" s="7"/>
      <c r="M351" s="5" t="s">
        <v>74</v>
      </c>
      <c r="N351" s="5" t="s">
        <v>74</v>
      </c>
      <c r="O351" s="7" t="s">
        <v>54</v>
      </c>
    </row>
    <row r="352" spans="1:15" x14ac:dyDescent="0.35">
      <c r="A352" s="5" t="s">
        <v>844</v>
      </c>
      <c r="B352" s="7" t="s">
        <v>736</v>
      </c>
      <c r="C352" s="7" t="s">
        <v>372</v>
      </c>
      <c r="D352" s="7" t="s">
        <v>48</v>
      </c>
      <c r="E352" s="7" t="s">
        <v>49</v>
      </c>
      <c r="F352" s="7" t="s">
        <v>50</v>
      </c>
      <c r="G352" s="7" t="s">
        <v>29</v>
      </c>
      <c r="H352" s="7" t="s">
        <v>52</v>
      </c>
      <c r="I352" s="7" t="s">
        <v>52</v>
      </c>
      <c r="J352" s="7"/>
      <c r="K352" s="7"/>
      <c r="L352" s="7"/>
      <c r="M352" s="5" t="s">
        <v>63</v>
      </c>
      <c r="N352" s="5" t="s">
        <v>63</v>
      </c>
      <c r="O352" s="7" t="s">
        <v>54</v>
      </c>
    </row>
    <row r="353" spans="1:15" x14ac:dyDescent="0.35">
      <c r="A353" s="5" t="s">
        <v>900</v>
      </c>
      <c r="B353" s="7" t="s">
        <v>793</v>
      </c>
      <c r="C353" s="7" t="s">
        <v>429</v>
      </c>
      <c r="D353" s="7" t="s">
        <v>48</v>
      </c>
      <c r="E353" s="7" t="s">
        <v>49</v>
      </c>
      <c r="F353" s="7" t="s">
        <v>50</v>
      </c>
      <c r="G353" s="7" t="s">
        <v>26</v>
      </c>
      <c r="H353" s="7" t="s">
        <v>51</v>
      </c>
      <c r="I353" s="7" t="s">
        <v>52</v>
      </c>
      <c r="J353" s="7" t="s">
        <v>51</v>
      </c>
      <c r="K353" s="7" t="s">
        <v>58</v>
      </c>
      <c r="L353" s="7"/>
      <c r="M353" s="5" t="s">
        <v>69</v>
      </c>
      <c r="N353" s="5" t="s">
        <v>69</v>
      </c>
      <c r="O353" s="7" t="s">
        <v>54</v>
      </c>
    </row>
    <row r="354" spans="1:15" x14ac:dyDescent="0.35">
      <c r="A354" s="5" t="s">
        <v>836</v>
      </c>
      <c r="B354" s="6" t="s">
        <v>647</v>
      </c>
      <c r="C354" s="6" t="s">
        <v>283</v>
      </c>
      <c r="D354" s="7" t="s">
        <v>48</v>
      </c>
      <c r="E354" s="7" t="s">
        <v>49</v>
      </c>
      <c r="F354" s="7" t="s">
        <v>50</v>
      </c>
      <c r="G354" s="7" t="s">
        <v>14</v>
      </c>
      <c r="H354" s="7" t="s">
        <v>52</v>
      </c>
      <c r="I354" s="7" t="s">
        <v>52</v>
      </c>
      <c r="J354" s="7"/>
      <c r="K354" s="7"/>
      <c r="L354" s="7"/>
      <c r="M354" s="5" t="s">
        <v>63</v>
      </c>
      <c r="N354" s="5" t="s">
        <v>63</v>
      </c>
      <c r="O354" s="7" t="s">
        <v>54</v>
      </c>
    </row>
    <row r="355" spans="1:15" x14ac:dyDescent="0.35">
      <c r="A355" s="5" t="s">
        <v>898</v>
      </c>
      <c r="B355" s="6" t="s">
        <v>539</v>
      </c>
      <c r="C355" s="6" t="s">
        <v>175</v>
      </c>
      <c r="D355" s="7" t="s">
        <v>48</v>
      </c>
      <c r="E355" s="7" t="s">
        <v>49</v>
      </c>
      <c r="F355" s="7" t="s">
        <v>55</v>
      </c>
      <c r="G355" s="7" t="s">
        <v>19</v>
      </c>
      <c r="H355" s="7" t="s">
        <v>52</v>
      </c>
      <c r="I355" s="7" t="s">
        <v>60</v>
      </c>
      <c r="J355" s="7" t="s">
        <v>51</v>
      </c>
      <c r="K355" s="7"/>
      <c r="L355" s="7"/>
      <c r="M355" s="5" t="s">
        <v>61</v>
      </c>
      <c r="N355" s="5" t="s">
        <v>61</v>
      </c>
      <c r="O355" s="7" t="s">
        <v>54</v>
      </c>
    </row>
    <row r="356" spans="1:15" x14ac:dyDescent="0.35">
      <c r="A356" s="5" t="s">
        <v>870</v>
      </c>
      <c r="B356" s="6" t="s">
        <v>765</v>
      </c>
      <c r="C356" s="6" t="s">
        <v>401</v>
      </c>
      <c r="D356" s="6" t="s">
        <v>48</v>
      </c>
      <c r="E356" s="6" t="s">
        <v>49</v>
      </c>
      <c r="F356" s="6" t="s">
        <v>50</v>
      </c>
      <c r="G356" s="6" t="s">
        <v>9</v>
      </c>
      <c r="H356" s="6" t="s">
        <v>52</v>
      </c>
      <c r="I356" s="6" t="s">
        <v>52</v>
      </c>
      <c r="J356" s="6"/>
      <c r="K356" s="6"/>
      <c r="L356" s="6"/>
      <c r="M356" s="5" t="s">
        <v>67</v>
      </c>
      <c r="N356" s="5" t="s">
        <v>67</v>
      </c>
      <c r="O356" s="6" t="s">
        <v>54</v>
      </c>
    </row>
    <row r="357" spans="1:15" x14ac:dyDescent="0.35">
      <c r="A357" s="5" t="s">
        <v>891</v>
      </c>
      <c r="B357" s="6" t="s">
        <v>581</v>
      </c>
      <c r="C357" s="6" t="s">
        <v>217</v>
      </c>
      <c r="D357" s="7" t="s">
        <v>48</v>
      </c>
      <c r="E357" s="7" t="s">
        <v>49</v>
      </c>
      <c r="F357" s="7" t="s">
        <v>55</v>
      </c>
      <c r="G357" s="7" t="s">
        <v>26</v>
      </c>
      <c r="H357" s="7" t="s">
        <v>52</v>
      </c>
      <c r="I357" s="7" t="s">
        <v>52</v>
      </c>
      <c r="J357" s="7"/>
      <c r="K357" s="7"/>
      <c r="L357" s="7"/>
      <c r="M357" s="5" t="s">
        <v>63</v>
      </c>
      <c r="N357" s="5" t="s">
        <v>63</v>
      </c>
      <c r="O357" s="7" t="s">
        <v>54</v>
      </c>
    </row>
    <row r="358" spans="1:15" x14ac:dyDescent="0.35">
      <c r="A358" s="5" t="s">
        <v>833</v>
      </c>
      <c r="B358" s="6" t="s">
        <v>753</v>
      </c>
      <c r="C358" s="6" t="s">
        <v>389</v>
      </c>
      <c r="D358" s="6" t="s">
        <v>48</v>
      </c>
      <c r="E358" s="6" t="s">
        <v>49</v>
      </c>
      <c r="F358" s="6" t="s">
        <v>55</v>
      </c>
      <c r="G358" s="6" t="s">
        <v>5</v>
      </c>
      <c r="H358" s="6" t="s">
        <v>51</v>
      </c>
      <c r="I358" s="6" t="s">
        <v>60</v>
      </c>
      <c r="J358" s="6" t="s">
        <v>51</v>
      </c>
      <c r="K358" s="6"/>
      <c r="L358" s="6"/>
      <c r="M358" s="5" t="s">
        <v>59</v>
      </c>
      <c r="N358" s="5" t="s">
        <v>59</v>
      </c>
      <c r="O358" s="6" t="s">
        <v>54</v>
      </c>
    </row>
    <row r="359" spans="1:15" x14ac:dyDescent="0.35">
      <c r="A359" s="5" t="s">
        <v>867</v>
      </c>
      <c r="B359" s="6" t="s">
        <v>537</v>
      </c>
      <c r="C359" s="6" t="s">
        <v>173</v>
      </c>
      <c r="D359" s="7" t="s">
        <v>48</v>
      </c>
      <c r="E359" s="7" t="s">
        <v>49</v>
      </c>
      <c r="F359" s="7" t="s">
        <v>50</v>
      </c>
      <c r="G359" s="7" t="s">
        <v>9</v>
      </c>
      <c r="H359" s="7" t="s">
        <v>52</v>
      </c>
      <c r="I359" s="7" t="s">
        <v>52</v>
      </c>
      <c r="J359" s="7"/>
      <c r="K359" s="7"/>
      <c r="L359" s="7"/>
      <c r="M359" s="5" t="s">
        <v>63</v>
      </c>
      <c r="N359" s="5" t="s">
        <v>63</v>
      </c>
      <c r="O359" s="7" t="s">
        <v>54</v>
      </c>
    </row>
    <row r="360" spans="1:15" x14ac:dyDescent="0.35">
      <c r="A360" s="5" t="s">
        <v>833</v>
      </c>
      <c r="B360" s="6" t="s">
        <v>758</v>
      </c>
      <c r="C360" s="6" t="s">
        <v>394</v>
      </c>
      <c r="D360" s="7" t="s">
        <v>48</v>
      </c>
      <c r="E360" s="7" t="s">
        <v>49</v>
      </c>
      <c r="F360" s="7" t="s">
        <v>55</v>
      </c>
      <c r="G360" s="7" t="s">
        <v>9</v>
      </c>
      <c r="H360" s="7" t="s">
        <v>52</v>
      </c>
      <c r="I360" s="7" t="s">
        <v>52</v>
      </c>
      <c r="J360" s="7"/>
      <c r="K360" s="7"/>
      <c r="L360" s="7"/>
      <c r="M360" s="5" t="s">
        <v>59</v>
      </c>
      <c r="N360" s="5" t="s">
        <v>59</v>
      </c>
      <c r="O360" s="7" t="s">
        <v>54</v>
      </c>
    </row>
    <row r="361" spans="1:15" x14ac:dyDescent="0.35">
      <c r="A361" s="5" t="s">
        <v>936</v>
      </c>
      <c r="B361" s="6" t="s">
        <v>819</v>
      </c>
      <c r="C361" s="6" t="s">
        <v>455</v>
      </c>
      <c r="D361" s="7" t="s">
        <v>48</v>
      </c>
      <c r="E361" s="7" t="s">
        <v>49</v>
      </c>
      <c r="F361" s="7" t="s">
        <v>55</v>
      </c>
      <c r="G361" s="7" t="s">
        <v>17</v>
      </c>
      <c r="H361" s="7" t="s">
        <v>52</v>
      </c>
      <c r="I361" s="7" t="s">
        <v>60</v>
      </c>
      <c r="J361" s="7"/>
      <c r="K361" s="7"/>
      <c r="L361" s="7"/>
      <c r="M361" s="5" t="s">
        <v>66</v>
      </c>
      <c r="N361" s="5" t="s">
        <v>66</v>
      </c>
      <c r="O361" s="7" t="s">
        <v>54</v>
      </c>
    </row>
    <row r="362" spans="1:15" x14ac:dyDescent="0.35">
      <c r="A362" s="5" t="s">
        <v>937</v>
      </c>
      <c r="B362" s="7" t="s">
        <v>748</v>
      </c>
      <c r="C362" s="7" t="s">
        <v>384</v>
      </c>
      <c r="D362" s="7" t="s">
        <v>48</v>
      </c>
      <c r="E362" s="7" t="s">
        <v>49</v>
      </c>
      <c r="F362" s="7" t="s">
        <v>50</v>
      </c>
      <c r="G362" s="7" t="s">
        <v>26</v>
      </c>
      <c r="H362" s="7" t="s">
        <v>51</v>
      </c>
      <c r="I362" s="7" t="s">
        <v>52</v>
      </c>
      <c r="J362" s="7" t="s">
        <v>51</v>
      </c>
      <c r="K362" s="7"/>
      <c r="L362" s="7"/>
      <c r="M362" s="5" t="s">
        <v>77</v>
      </c>
      <c r="N362" s="5" t="s">
        <v>77</v>
      </c>
      <c r="O362" s="7" t="s">
        <v>54</v>
      </c>
    </row>
    <row r="363" spans="1:15" x14ac:dyDescent="0.35">
      <c r="A363" s="5" t="s">
        <v>913</v>
      </c>
      <c r="B363" s="6" t="s">
        <v>560</v>
      </c>
      <c r="C363" s="6" t="s">
        <v>196</v>
      </c>
      <c r="D363" s="6" t="s">
        <v>48</v>
      </c>
      <c r="E363" s="6" t="s">
        <v>49</v>
      </c>
      <c r="F363" s="6" t="s">
        <v>50</v>
      </c>
      <c r="G363" s="6" t="s">
        <v>17</v>
      </c>
      <c r="H363" s="6" t="s">
        <v>52</v>
      </c>
      <c r="I363" s="6" t="s">
        <v>52</v>
      </c>
      <c r="J363" s="6" t="s">
        <v>51</v>
      </c>
      <c r="K363" s="6" t="s">
        <v>51</v>
      </c>
      <c r="L363" s="6"/>
      <c r="M363" s="5" t="s">
        <v>75</v>
      </c>
      <c r="N363" s="5" t="s">
        <v>75</v>
      </c>
      <c r="O363" s="6" t="s">
        <v>54</v>
      </c>
    </row>
    <row r="364" spans="1:15" x14ac:dyDescent="0.35">
      <c r="A364" s="5" t="s">
        <v>938</v>
      </c>
      <c r="B364" s="6" t="s">
        <v>776</v>
      </c>
      <c r="C364" s="6" t="s">
        <v>412</v>
      </c>
      <c r="D364" s="7" t="s">
        <v>48</v>
      </c>
      <c r="E364" s="7" t="s">
        <v>49</v>
      </c>
      <c r="F364" s="7" t="s">
        <v>55</v>
      </c>
      <c r="G364" s="7" t="s">
        <v>17</v>
      </c>
      <c r="H364" s="7" t="s">
        <v>52</v>
      </c>
      <c r="I364" s="7" t="s">
        <v>52</v>
      </c>
      <c r="J364" s="7" t="s">
        <v>51</v>
      </c>
      <c r="K364" s="7" t="s">
        <v>51</v>
      </c>
      <c r="L364" s="7"/>
      <c r="M364" s="5" t="s">
        <v>84</v>
      </c>
      <c r="N364" s="5" t="s">
        <v>84</v>
      </c>
      <c r="O364" s="7" t="s">
        <v>54</v>
      </c>
    </row>
    <row r="365" spans="1:15" x14ac:dyDescent="0.35">
      <c r="A365" s="10" t="s">
        <v>846</v>
      </c>
      <c r="B365" s="11" t="s">
        <v>662</v>
      </c>
      <c r="C365" s="11" t="s">
        <v>298</v>
      </c>
      <c r="D365" s="12" t="s">
        <v>48</v>
      </c>
      <c r="E365" s="12" t="s">
        <v>49</v>
      </c>
      <c r="F365" s="12" t="s">
        <v>50</v>
      </c>
      <c r="G365" s="12" t="s">
        <v>8</v>
      </c>
      <c r="H365" s="12" t="s">
        <v>51</v>
      </c>
      <c r="I365" s="12" t="s">
        <v>52</v>
      </c>
      <c r="J365" s="12" t="s">
        <v>51</v>
      </c>
      <c r="K365" s="12" t="s">
        <v>51</v>
      </c>
      <c r="L365" s="12"/>
      <c r="M365" s="10" t="s">
        <v>57</v>
      </c>
      <c r="N365" s="10" t="s">
        <v>57</v>
      </c>
      <c r="O365" s="12" t="s">
        <v>54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1B604-5347-4982-A966-7983D8DFF6E4}">
  <sheetPr>
    <tabColor rgb="FF5E0009"/>
  </sheetPr>
  <dimension ref="A1:O365"/>
  <sheetViews>
    <sheetView workbookViewId="0">
      <selection activeCell="F55" sqref="F55"/>
    </sheetView>
  </sheetViews>
  <sheetFormatPr defaultRowHeight="14.5" x14ac:dyDescent="0.35"/>
  <cols>
    <col min="1" max="1" width="18.90625" bestFit="1" customWidth="1"/>
    <col min="2" max="2" width="12.08984375" bestFit="1" customWidth="1"/>
    <col min="3" max="3" width="15.6328125" bestFit="1" customWidth="1"/>
    <col min="4" max="4" width="14" bestFit="1" customWidth="1"/>
    <col min="5" max="5" width="11.26953125" bestFit="1" customWidth="1"/>
    <col min="6" max="6" width="7.08984375" bestFit="1" customWidth="1"/>
    <col min="7" max="7" width="29.7265625" bestFit="1" customWidth="1"/>
    <col min="8" max="8" width="23.54296875" bestFit="1" customWidth="1"/>
    <col min="9" max="9" width="14" bestFit="1" customWidth="1"/>
    <col min="10" max="10" width="10.90625" bestFit="1" customWidth="1"/>
    <col min="11" max="11" width="19.6328125" bestFit="1" customWidth="1"/>
    <col min="12" max="12" width="17.1796875" bestFit="1" customWidth="1"/>
    <col min="13" max="13" width="21.54296875" bestFit="1" customWidth="1"/>
    <col min="14" max="14" width="23" bestFit="1" customWidth="1"/>
    <col min="15" max="15" width="13.90625" bestFit="1" customWidth="1"/>
  </cols>
  <sheetData>
    <row r="1" spans="1:15" x14ac:dyDescent="0.35">
      <c r="A1" s="13" t="s">
        <v>33</v>
      </c>
      <c r="B1" s="13" t="s">
        <v>34</v>
      </c>
      <c r="C1" s="13" t="s">
        <v>35</v>
      </c>
      <c r="D1" s="13" t="s">
        <v>36</v>
      </c>
      <c r="E1" s="13" t="s">
        <v>37</v>
      </c>
      <c r="F1" s="13" t="s">
        <v>38</v>
      </c>
      <c r="G1" s="13" t="s">
        <v>39</v>
      </c>
      <c r="H1" s="13" t="s">
        <v>40</v>
      </c>
      <c r="I1" s="13" t="s">
        <v>41</v>
      </c>
      <c r="J1" s="13" t="s">
        <v>42</v>
      </c>
      <c r="K1" s="13" t="s">
        <v>43</v>
      </c>
      <c r="L1" s="13" t="s">
        <v>44</v>
      </c>
      <c r="M1" s="13" t="s">
        <v>45</v>
      </c>
      <c r="N1" s="13" t="s">
        <v>46</v>
      </c>
      <c r="O1" s="13" t="s">
        <v>47</v>
      </c>
    </row>
    <row r="2" spans="1:15" hidden="1" x14ac:dyDescent="0.35">
      <c r="A2" t="s">
        <v>829</v>
      </c>
      <c r="B2" t="s">
        <v>669</v>
      </c>
      <c r="C2" t="s">
        <v>305</v>
      </c>
      <c r="D2" t="s">
        <v>48</v>
      </c>
      <c r="E2" t="s">
        <v>49</v>
      </c>
      <c r="F2" t="s">
        <v>55</v>
      </c>
      <c r="G2" t="s">
        <v>6</v>
      </c>
      <c r="H2" t="s">
        <v>51</v>
      </c>
      <c r="I2" t="s">
        <v>52</v>
      </c>
      <c r="J2" t="s">
        <v>51</v>
      </c>
      <c r="K2" t="s">
        <v>51</v>
      </c>
      <c r="M2" t="s">
        <v>56</v>
      </c>
      <c r="N2" t="s">
        <v>56</v>
      </c>
      <c r="O2" t="s">
        <v>54</v>
      </c>
    </row>
    <row r="3" spans="1:15" hidden="1" x14ac:dyDescent="0.35">
      <c r="A3" t="s">
        <v>830</v>
      </c>
      <c r="B3" t="s">
        <v>812</v>
      </c>
      <c r="C3" t="s">
        <v>448</v>
      </c>
      <c r="D3" t="s">
        <v>48</v>
      </c>
      <c r="E3" t="s">
        <v>49</v>
      </c>
      <c r="F3" t="s">
        <v>55</v>
      </c>
      <c r="G3" t="s">
        <v>17</v>
      </c>
      <c r="H3" t="s">
        <v>52</v>
      </c>
      <c r="I3" t="s">
        <v>52</v>
      </c>
      <c r="J3" t="s">
        <v>52</v>
      </c>
      <c r="M3" t="s">
        <v>56</v>
      </c>
      <c r="N3" t="s">
        <v>56</v>
      </c>
      <c r="O3" t="s">
        <v>54</v>
      </c>
    </row>
    <row r="4" spans="1:15" hidden="1" x14ac:dyDescent="0.35">
      <c r="A4" t="s">
        <v>831</v>
      </c>
      <c r="B4" t="s">
        <v>561</v>
      </c>
      <c r="C4" t="s">
        <v>197</v>
      </c>
      <c r="D4" t="s">
        <v>48</v>
      </c>
      <c r="E4" t="s">
        <v>49</v>
      </c>
      <c r="F4" t="s">
        <v>55</v>
      </c>
      <c r="G4" t="s">
        <v>17</v>
      </c>
      <c r="H4" t="s">
        <v>52</v>
      </c>
      <c r="I4" t="s">
        <v>52</v>
      </c>
      <c r="J4" t="s">
        <v>51</v>
      </c>
      <c r="K4" t="s">
        <v>51</v>
      </c>
      <c r="L4" t="s">
        <v>76</v>
      </c>
      <c r="M4" t="s">
        <v>59</v>
      </c>
      <c r="N4" t="s">
        <v>59</v>
      </c>
      <c r="O4" t="s">
        <v>54</v>
      </c>
    </row>
    <row r="5" spans="1:15" x14ac:dyDescent="0.35">
      <c r="A5" t="s">
        <v>832</v>
      </c>
      <c r="B5" t="s">
        <v>488</v>
      </c>
      <c r="C5" t="s">
        <v>124</v>
      </c>
      <c r="D5" t="s">
        <v>48</v>
      </c>
      <c r="E5" t="s">
        <v>49</v>
      </c>
      <c r="F5" t="s">
        <v>50</v>
      </c>
      <c r="G5" t="s">
        <v>22</v>
      </c>
      <c r="H5" t="s">
        <v>52</v>
      </c>
      <c r="I5" t="s">
        <v>60</v>
      </c>
      <c r="J5" t="s">
        <v>51</v>
      </c>
      <c r="M5" t="s">
        <v>59</v>
      </c>
      <c r="N5" t="s">
        <v>59</v>
      </c>
      <c r="O5" t="s">
        <v>54</v>
      </c>
    </row>
    <row r="6" spans="1:15" hidden="1" x14ac:dyDescent="0.35">
      <c r="A6" t="s">
        <v>829</v>
      </c>
      <c r="B6" t="s">
        <v>484</v>
      </c>
      <c r="C6" t="s">
        <v>120</v>
      </c>
      <c r="D6" t="s">
        <v>48</v>
      </c>
      <c r="E6" t="s">
        <v>49</v>
      </c>
      <c r="F6" t="s">
        <v>55</v>
      </c>
      <c r="G6" t="s">
        <v>0</v>
      </c>
      <c r="H6" t="s">
        <v>52</v>
      </c>
      <c r="I6" t="s">
        <v>52</v>
      </c>
      <c r="J6" t="s">
        <v>52</v>
      </c>
      <c r="M6" t="s">
        <v>56</v>
      </c>
      <c r="N6" t="s">
        <v>56</v>
      </c>
      <c r="O6" t="s">
        <v>54</v>
      </c>
    </row>
    <row r="7" spans="1:15" hidden="1" x14ac:dyDescent="0.35">
      <c r="A7" t="s">
        <v>833</v>
      </c>
      <c r="B7" t="s">
        <v>738</v>
      </c>
      <c r="C7" t="s">
        <v>374</v>
      </c>
      <c r="D7" t="s">
        <v>48</v>
      </c>
      <c r="E7" t="s">
        <v>49</v>
      </c>
      <c r="F7" t="s">
        <v>55</v>
      </c>
      <c r="G7" t="s">
        <v>13</v>
      </c>
      <c r="H7" t="s">
        <v>52</v>
      </c>
      <c r="I7" t="s">
        <v>52</v>
      </c>
      <c r="J7" t="s">
        <v>52</v>
      </c>
      <c r="M7" t="s">
        <v>59</v>
      </c>
      <c r="N7" t="s">
        <v>59</v>
      </c>
      <c r="O7" t="s">
        <v>54</v>
      </c>
    </row>
    <row r="8" spans="1:15" x14ac:dyDescent="0.35">
      <c r="A8" t="s">
        <v>832</v>
      </c>
      <c r="B8" t="s">
        <v>480</v>
      </c>
      <c r="C8" t="s">
        <v>116</v>
      </c>
      <c r="D8" t="s">
        <v>48</v>
      </c>
      <c r="E8" t="s">
        <v>49</v>
      </c>
      <c r="F8" t="s">
        <v>50</v>
      </c>
      <c r="G8" t="s">
        <v>26</v>
      </c>
      <c r="H8" t="s">
        <v>52</v>
      </c>
      <c r="I8" t="s">
        <v>60</v>
      </c>
      <c r="J8" t="s">
        <v>52</v>
      </c>
      <c r="M8" t="s">
        <v>59</v>
      </c>
      <c r="N8" t="s">
        <v>59</v>
      </c>
      <c r="O8" t="s">
        <v>54</v>
      </c>
    </row>
    <row r="9" spans="1:15" hidden="1" x14ac:dyDescent="0.35">
      <c r="A9" t="s">
        <v>833</v>
      </c>
      <c r="B9" t="s">
        <v>676</v>
      </c>
      <c r="C9" t="s">
        <v>312</v>
      </c>
      <c r="D9" t="s">
        <v>48</v>
      </c>
      <c r="E9" t="s">
        <v>49</v>
      </c>
      <c r="F9" t="s">
        <v>55</v>
      </c>
      <c r="G9" t="s">
        <v>29</v>
      </c>
      <c r="H9" t="s">
        <v>52</v>
      </c>
      <c r="I9" t="s">
        <v>52</v>
      </c>
      <c r="J9" t="s">
        <v>52</v>
      </c>
      <c r="M9" t="s">
        <v>59</v>
      </c>
      <c r="N9" t="s">
        <v>59</v>
      </c>
      <c r="O9" t="s">
        <v>54</v>
      </c>
    </row>
    <row r="10" spans="1:15" hidden="1" x14ac:dyDescent="0.35">
      <c r="A10" t="s">
        <v>834</v>
      </c>
      <c r="B10" t="s">
        <v>528</v>
      </c>
      <c r="C10" t="s">
        <v>164</v>
      </c>
      <c r="D10" t="s">
        <v>48</v>
      </c>
      <c r="E10" t="s">
        <v>49</v>
      </c>
      <c r="F10" t="s">
        <v>55</v>
      </c>
      <c r="G10" t="s">
        <v>13</v>
      </c>
      <c r="H10" t="s">
        <v>51</v>
      </c>
      <c r="I10" t="s">
        <v>52</v>
      </c>
      <c r="J10" t="s">
        <v>52</v>
      </c>
      <c r="M10" t="s">
        <v>56</v>
      </c>
      <c r="N10" t="s">
        <v>56</v>
      </c>
      <c r="O10" t="s">
        <v>54</v>
      </c>
    </row>
    <row r="11" spans="1:15" hidden="1" x14ac:dyDescent="0.35">
      <c r="A11" t="s">
        <v>835</v>
      </c>
      <c r="B11" t="s">
        <v>659</v>
      </c>
      <c r="C11" t="s">
        <v>295</v>
      </c>
      <c r="D11" t="s">
        <v>48</v>
      </c>
      <c r="E11" t="s">
        <v>49</v>
      </c>
      <c r="F11" t="s">
        <v>55</v>
      </c>
      <c r="G11" t="s">
        <v>5</v>
      </c>
      <c r="H11" t="s">
        <v>92</v>
      </c>
      <c r="I11" t="s">
        <v>52</v>
      </c>
      <c r="J11" t="s">
        <v>52</v>
      </c>
      <c r="M11" t="s">
        <v>63</v>
      </c>
      <c r="N11" t="s">
        <v>63</v>
      </c>
      <c r="O11" t="s">
        <v>54</v>
      </c>
    </row>
    <row r="12" spans="1:15" x14ac:dyDescent="0.35">
      <c r="A12" t="s">
        <v>836</v>
      </c>
      <c r="B12" t="s">
        <v>588</v>
      </c>
      <c r="C12" t="s">
        <v>224</v>
      </c>
      <c r="D12" t="s">
        <v>48</v>
      </c>
      <c r="E12" t="s">
        <v>49</v>
      </c>
      <c r="F12" t="s">
        <v>50</v>
      </c>
      <c r="G12" t="s">
        <v>5</v>
      </c>
      <c r="H12" t="s">
        <v>52</v>
      </c>
      <c r="I12" t="s">
        <v>52</v>
      </c>
      <c r="J12" t="s">
        <v>51</v>
      </c>
      <c r="L12" t="s">
        <v>68</v>
      </c>
      <c r="M12" t="s">
        <v>63</v>
      </c>
      <c r="N12" t="s">
        <v>63</v>
      </c>
      <c r="O12" t="s">
        <v>54</v>
      </c>
    </row>
    <row r="13" spans="1:15" hidden="1" x14ac:dyDescent="0.35">
      <c r="A13" t="s">
        <v>837</v>
      </c>
      <c r="B13" t="s">
        <v>680</v>
      </c>
      <c r="C13" t="s">
        <v>316</v>
      </c>
      <c r="D13" t="s">
        <v>48</v>
      </c>
      <c r="E13" t="s">
        <v>49</v>
      </c>
      <c r="F13" t="s">
        <v>55</v>
      </c>
      <c r="G13" t="s">
        <v>11</v>
      </c>
      <c r="H13" t="s">
        <v>52</v>
      </c>
      <c r="I13" t="s">
        <v>60</v>
      </c>
      <c r="J13" t="s">
        <v>52</v>
      </c>
      <c r="M13" t="s">
        <v>63</v>
      </c>
      <c r="N13" t="s">
        <v>63</v>
      </c>
      <c r="O13" t="s">
        <v>54</v>
      </c>
    </row>
    <row r="14" spans="1:15" hidden="1" x14ac:dyDescent="0.35">
      <c r="A14" t="s">
        <v>838</v>
      </c>
      <c r="B14" t="s">
        <v>553</v>
      </c>
      <c r="C14" t="s">
        <v>189</v>
      </c>
      <c r="D14" t="s">
        <v>48</v>
      </c>
      <c r="E14" t="s">
        <v>49</v>
      </c>
      <c r="F14" t="s">
        <v>55</v>
      </c>
      <c r="G14" t="s">
        <v>9</v>
      </c>
      <c r="H14" t="s">
        <v>52</v>
      </c>
      <c r="I14" t="s">
        <v>60</v>
      </c>
      <c r="J14" t="s">
        <v>51</v>
      </c>
      <c r="L14" t="s">
        <v>70</v>
      </c>
      <c r="M14" t="s">
        <v>61</v>
      </c>
      <c r="N14" t="s">
        <v>61</v>
      </c>
      <c r="O14" t="s">
        <v>54</v>
      </c>
    </row>
    <row r="15" spans="1:15" hidden="1" x14ac:dyDescent="0.35">
      <c r="A15" t="s">
        <v>839</v>
      </c>
      <c r="B15" t="s">
        <v>557</v>
      </c>
      <c r="C15" t="s">
        <v>193</v>
      </c>
      <c r="D15" t="s">
        <v>48</v>
      </c>
      <c r="E15" t="s">
        <v>49</v>
      </c>
      <c r="F15" t="s">
        <v>55</v>
      </c>
      <c r="G15" t="s">
        <v>5</v>
      </c>
      <c r="H15" t="s">
        <v>51</v>
      </c>
      <c r="I15" t="s">
        <v>52</v>
      </c>
      <c r="J15" t="s">
        <v>51</v>
      </c>
      <c r="K15" t="s">
        <v>51</v>
      </c>
      <c r="M15" t="s">
        <v>59</v>
      </c>
      <c r="N15" t="s">
        <v>59</v>
      </c>
      <c r="O15" t="s">
        <v>54</v>
      </c>
    </row>
    <row r="16" spans="1:15" x14ac:dyDescent="0.35">
      <c r="A16" t="s">
        <v>840</v>
      </c>
      <c r="B16" t="s">
        <v>648</v>
      </c>
      <c r="C16" t="s">
        <v>284</v>
      </c>
      <c r="D16" t="s">
        <v>48</v>
      </c>
      <c r="E16" t="s">
        <v>49</v>
      </c>
      <c r="F16" t="s">
        <v>50</v>
      </c>
      <c r="G16" t="s">
        <v>10</v>
      </c>
      <c r="H16" t="s">
        <v>52</v>
      </c>
      <c r="I16" t="s">
        <v>52</v>
      </c>
      <c r="J16" t="s">
        <v>51</v>
      </c>
      <c r="K16" t="s">
        <v>51</v>
      </c>
      <c r="L16" t="s">
        <v>62</v>
      </c>
      <c r="M16" t="s">
        <v>89</v>
      </c>
      <c r="N16" t="s">
        <v>89</v>
      </c>
      <c r="O16" t="s">
        <v>54</v>
      </c>
    </row>
    <row r="17" spans="1:15" hidden="1" x14ac:dyDescent="0.35">
      <c r="A17" t="s">
        <v>833</v>
      </c>
      <c r="B17" t="s">
        <v>486</v>
      </c>
      <c r="C17" t="s">
        <v>122</v>
      </c>
      <c r="D17" t="s">
        <v>48</v>
      </c>
      <c r="E17" t="s">
        <v>49</v>
      </c>
      <c r="F17" t="s">
        <v>55</v>
      </c>
      <c r="G17" t="s">
        <v>29</v>
      </c>
      <c r="H17" t="s">
        <v>51</v>
      </c>
      <c r="I17" t="s">
        <v>52</v>
      </c>
      <c r="J17" t="s">
        <v>52</v>
      </c>
      <c r="M17" t="s">
        <v>59</v>
      </c>
      <c r="N17" t="s">
        <v>59</v>
      </c>
      <c r="O17" t="s">
        <v>54</v>
      </c>
    </row>
    <row r="18" spans="1:15" x14ac:dyDescent="0.35">
      <c r="A18" t="s">
        <v>841</v>
      </c>
      <c r="B18" t="s">
        <v>522</v>
      </c>
      <c r="C18" t="s">
        <v>158</v>
      </c>
      <c r="D18" t="s">
        <v>48</v>
      </c>
      <c r="E18" t="s">
        <v>49</v>
      </c>
      <c r="F18" t="s">
        <v>50</v>
      </c>
      <c r="G18" t="s">
        <v>8</v>
      </c>
      <c r="H18" t="s">
        <v>51</v>
      </c>
      <c r="I18" t="s">
        <v>52</v>
      </c>
      <c r="J18" t="s">
        <v>51</v>
      </c>
      <c r="M18" t="s">
        <v>57</v>
      </c>
      <c r="N18" t="s">
        <v>57</v>
      </c>
      <c r="O18" t="s">
        <v>54</v>
      </c>
    </row>
    <row r="19" spans="1:15" hidden="1" x14ac:dyDescent="0.35">
      <c r="A19" t="s">
        <v>842</v>
      </c>
      <c r="B19" t="s">
        <v>721</v>
      </c>
      <c r="C19" t="s">
        <v>357</v>
      </c>
      <c r="D19" t="s">
        <v>48</v>
      </c>
      <c r="E19" t="s">
        <v>49</v>
      </c>
      <c r="F19" t="s">
        <v>55</v>
      </c>
      <c r="G19" t="s">
        <v>24</v>
      </c>
      <c r="H19" t="s">
        <v>52</v>
      </c>
      <c r="I19" t="s">
        <v>52</v>
      </c>
      <c r="J19" t="s">
        <v>52</v>
      </c>
      <c r="M19" t="s">
        <v>57</v>
      </c>
      <c r="N19" t="s">
        <v>57</v>
      </c>
      <c r="O19" t="s">
        <v>54</v>
      </c>
    </row>
    <row r="20" spans="1:15" x14ac:dyDescent="0.35">
      <c r="A20" t="s">
        <v>843</v>
      </c>
      <c r="B20" t="s">
        <v>640</v>
      </c>
      <c r="C20" t="s">
        <v>276</v>
      </c>
      <c r="D20" t="s">
        <v>48</v>
      </c>
      <c r="E20" t="s">
        <v>49</v>
      </c>
      <c r="F20" t="s">
        <v>50</v>
      </c>
      <c r="G20" t="s">
        <v>5</v>
      </c>
      <c r="H20" t="s">
        <v>52</v>
      </c>
      <c r="I20" t="s">
        <v>52</v>
      </c>
      <c r="J20" t="s">
        <v>52</v>
      </c>
      <c r="M20" t="s">
        <v>67</v>
      </c>
      <c r="N20" t="s">
        <v>67</v>
      </c>
      <c r="O20" t="s">
        <v>54</v>
      </c>
    </row>
    <row r="21" spans="1:15" x14ac:dyDescent="0.35">
      <c r="A21" t="s">
        <v>844</v>
      </c>
      <c r="B21" t="s">
        <v>760</v>
      </c>
      <c r="C21" t="s">
        <v>396</v>
      </c>
      <c r="D21" t="s">
        <v>48</v>
      </c>
      <c r="E21" t="s">
        <v>49</v>
      </c>
      <c r="F21" t="s">
        <v>50</v>
      </c>
      <c r="G21" t="s">
        <v>16</v>
      </c>
      <c r="H21" t="s">
        <v>52</v>
      </c>
      <c r="I21" t="s">
        <v>60</v>
      </c>
      <c r="J21" t="s">
        <v>52</v>
      </c>
      <c r="M21" t="s">
        <v>63</v>
      </c>
      <c r="N21" t="s">
        <v>63</v>
      </c>
      <c r="O21" t="s">
        <v>54</v>
      </c>
    </row>
    <row r="22" spans="1:15" hidden="1" x14ac:dyDescent="0.35">
      <c r="A22" t="s">
        <v>845</v>
      </c>
      <c r="B22" t="s">
        <v>769</v>
      </c>
      <c r="C22" t="s">
        <v>405</v>
      </c>
      <c r="D22" t="s">
        <v>48</v>
      </c>
      <c r="E22" t="s">
        <v>49</v>
      </c>
      <c r="F22" t="s">
        <v>55</v>
      </c>
      <c r="G22" t="s">
        <v>28</v>
      </c>
      <c r="H22" t="s">
        <v>51</v>
      </c>
      <c r="I22" t="s">
        <v>52</v>
      </c>
      <c r="J22" t="s">
        <v>51</v>
      </c>
      <c r="M22" t="s">
        <v>57</v>
      </c>
      <c r="N22" t="s">
        <v>57</v>
      </c>
      <c r="O22" t="s">
        <v>54</v>
      </c>
    </row>
    <row r="23" spans="1:15" x14ac:dyDescent="0.35">
      <c r="A23" t="s">
        <v>846</v>
      </c>
      <c r="B23" t="s">
        <v>482</v>
      </c>
      <c r="C23" t="s">
        <v>118</v>
      </c>
      <c r="D23" t="s">
        <v>48</v>
      </c>
      <c r="E23" t="s">
        <v>49</v>
      </c>
      <c r="F23" t="s">
        <v>50</v>
      </c>
      <c r="G23" t="s">
        <v>5</v>
      </c>
      <c r="H23" t="s">
        <v>52</v>
      </c>
      <c r="I23" t="s">
        <v>60</v>
      </c>
      <c r="J23" t="s">
        <v>52</v>
      </c>
      <c r="M23" t="s">
        <v>57</v>
      </c>
      <c r="N23" t="s">
        <v>57</v>
      </c>
      <c r="O23" t="s">
        <v>54</v>
      </c>
    </row>
    <row r="24" spans="1:15" hidden="1" x14ac:dyDescent="0.35">
      <c r="A24" t="s">
        <v>847</v>
      </c>
      <c r="B24" t="s">
        <v>708</v>
      </c>
      <c r="C24" t="s">
        <v>344</v>
      </c>
      <c r="D24" t="s">
        <v>48</v>
      </c>
      <c r="E24" t="s">
        <v>49</v>
      </c>
      <c r="F24" t="s">
        <v>55</v>
      </c>
      <c r="G24" t="s">
        <v>26</v>
      </c>
      <c r="H24" t="s">
        <v>52</v>
      </c>
      <c r="I24" t="s">
        <v>52</v>
      </c>
      <c r="J24" t="s">
        <v>52</v>
      </c>
      <c r="M24" t="s">
        <v>67</v>
      </c>
      <c r="N24" t="s">
        <v>67</v>
      </c>
      <c r="O24" t="s">
        <v>54</v>
      </c>
    </row>
    <row r="25" spans="1:15" x14ac:dyDescent="0.35">
      <c r="A25" t="s">
        <v>848</v>
      </c>
      <c r="B25" t="s">
        <v>471</v>
      </c>
      <c r="C25" t="s">
        <v>107</v>
      </c>
      <c r="D25" t="s">
        <v>48</v>
      </c>
      <c r="E25" t="s">
        <v>49</v>
      </c>
      <c r="F25" t="s">
        <v>50</v>
      </c>
      <c r="G25" t="s">
        <v>5</v>
      </c>
      <c r="H25" t="s">
        <v>52</v>
      </c>
      <c r="I25" t="s">
        <v>52</v>
      </c>
      <c r="J25" t="s">
        <v>51</v>
      </c>
      <c r="M25" t="s">
        <v>56</v>
      </c>
      <c r="N25" t="s">
        <v>56</v>
      </c>
      <c r="O25" t="s">
        <v>54</v>
      </c>
    </row>
    <row r="26" spans="1:15" hidden="1" x14ac:dyDescent="0.35">
      <c r="A26" t="s">
        <v>849</v>
      </c>
      <c r="B26" t="s">
        <v>754</v>
      </c>
      <c r="C26" t="s">
        <v>390</v>
      </c>
      <c r="D26" t="s">
        <v>48</v>
      </c>
      <c r="E26" t="s">
        <v>49</v>
      </c>
      <c r="F26" t="s">
        <v>55</v>
      </c>
      <c r="G26" t="s">
        <v>9</v>
      </c>
      <c r="H26" t="s">
        <v>52</v>
      </c>
      <c r="I26" t="s">
        <v>52</v>
      </c>
      <c r="J26" t="s">
        <v>52</v>
      </c>
      <c r="M26" t="s">
        <v>59</v>
      </c>
      <c r="N26" t="s">
        <v>59</v>
      </c>
      <c r="O26" t="s">
        <v>54</v>
      </c>
    </row>
    <row r="27" spans="1:15" x14ac:dyDescent="0.35">
      <c r="A27" t="s">
        <v>850</v>
      </c>
      <c r="B27" t="s">
        <v>698</v>
      </c>
      <c r="C27" t="s">
        <v>334</v>
      </c>
      <c r="D27" t="s">
        <v>48</v>
      </c>
      <c r="E27" t="s">
        <v>49</v>
      </c>
      <c r="F27" t="s">
        <v>50</v>
      </c>
      <c r="G27" t="s">
        <v>3</v>
      </c>
      <c r="H27" t="s">
        <v>51</v>
      </c>
      <c r="I27" t="s">
        <v>52</v>
      </c>
      <c r="J27" t="s">
        <v>51</v>
      </c>
      <c r="K27" t="s">
        <v>51</v>
      </c>
      <c r="M27" t="s">
        <v>57</v>
      </c>
      <c r="N27" t="s">
        <v>57</v>
      </c>
      <c r="O27" t="s">
        <v>54</v>
      </c>
    </row>
    <row r="28" spans="1:15" hidden="1" x14ac:dyDescent="0.35">
      <c r="A28" t="s">
        <v>851</v>
      </c>
      <c r="B28" t="s">
        <v>638</v>
      </c>
      <c r="C28" t="s">
        <v>274</v>
      </c>
      <c r="D28" t="s">
        <v>48</v>
      </c>
      <c r="E28" t="s">
        <v>49</v>
      </c>
      <c r="F28" t="s">
        <v>55</v>
      </c>
      <c r="G28" t="s">
        <v>29</v>
      </c>
      <c r="H28" t="s">
        <v>52</v>
      </c>
      <c r="I28" t="s">
        <v>52</v>
      </c>
      <c r="J28" t="s">
        <v>52</v>
      </c>
      <c r="M28" t="s">
        <v>67</v>
      </c>
      <c r="N28" t="s">
        <v>67</v>
      </c>
      <c r="O28" t="s">
        <v>54</v>
      </c>
    </row>
    <row r="29" spans="1:15" hidden="1" x14ac:dyDescent="0.35">
      <c r="A29" t="s">
        <v>837</v>
      </c>
      <c r="B29" t="s">
        <v>784</v>
      </c>
      <c r="C29" t="s">
        <v>420</v>
      </c>
      <c r="D29" t="s">
        <v>48</v>
      </c>
      <c r="E29" t="s">
        <v>49</v>
      </c>
      <c r="F29" t="s">
        <v>55</v>
      </c>
      <c r="G29" t="s">
        <v>5</v>
      </c>
      <c r="H29" t="s">
        <v>52</v>
      </c>
      <c r="I29" t="s">
        <v>52</v>
      </c>
      <c r="J29" t="s">
        <v>52</v>
      </c>
      <c r="M29" t="s">
        <v>63</v>
      </c>
      <c r="N29" t="s">
        <v>63</v>
      </c>
      <c r="O29" t="s">
        <v>54</v>
      </c>
    </row>
    <row r="30" spans="1:15" x14ac:dyDescent="0.35">
      <c r="A30" t="s">
        <v>852</v>
      </c>
      <c r="B30" t="s">
        <v>825</v>
      </c>
      <c r="C30" t="s">
        <v>461</v>
      </c>
      <c r="D30" t="s">
        <v>48</v>
      </c>
      <c r="E30" t="s">
        <v>49</v>
      </c>
      <c r="F30" t="s">
        <v>50</v>
      </c>
      <c r="G30" t="s">
        <v>0</v>
      </c>
      <c r="H30" t="s">
        <v>51</v>
      </c>
      <c r="I30" t="s">
        <v>52</v>
      </c>
      <c r="J30" t="s">
        <v>51</v>
      </c>
      <c r="K30" t="s">
        <v>51</v>
      </c>
      <c r="M30" t="s">
        <v>53</v>
      </c>
      <c r="N30" t="s">
        <v>53</v>
      </c>
      <c r="O30" t="s">
        <v>54</v>
      </c>
    </row>
    <row r="31" spans="1:15" hidden="1" x14ac:dyDescent="0.35">
      <c r="A31" t="s">
        <v>831</v>
      </c>
      <c r="B31" t="s">
        <v>660</v>
      </c>
      <c r="C31" t="s">
        <v>296</v>
      </c>
      <c r="D31" t="s">
        <v>48</v>
      </c>
      <c r="E31" t="s">
        <v>49</v>
      </c>
      <c r="F31" t="s">
        <v>55</v>
      </c>
      <c r="G31" t="s">
        <v>9</v>
      </c>
      <c r="H31" t="s">
        <v>52</v>
      </c>
      <c r="I31" t="s">
        <v>52</v>
      </c>
      <c r="J31" t="s">
        <v>52</v>
      </c>
      <c r="M31" t="s">
        <v>59</v>
      </c>
      <c r="N31" t="s">
        <v>59</v>
      </c>
      <c r="O31" t="s">
        <v>54</v>
      </c>
    </row>
    <row r="32" spans="1:15" hidden="1" x14ac:dyDescent="0.35">
      <c r="A32" t="s">
        <v>853</v>
      </c>
      <c r="B32" t="s">
        <v>820</v>
      </c>
      <c r="C32" t="s">
        <v>456</v>
      </c>
      <c r="D32" t="s">
        <v>48</v>
      </c>
      <c r="E32" t="s">
        <v>49</v>
      </c>
      <c r="F32" t="s">
        <v>55</v>
      </c>
      <c r="G32" t="s">
        <v>9</v>
      </c>
      <c r="H32" t="s">
        <v>52</v>
      </c>
      <c r="I32" t="s">
        <v>52</v>
      </c>
      <c r="J32" t="s">
        <v>51</v>
      </c>
      <c r="K32" t="s">
        <v>51</v>
      </c>
      <c r="M32" t="s">
        <v>53</v>
      </c>
      <c r="N32" t="s">
        <v>53</v>
      </c>
      <c r="O32" t="s">
        <v>54</v>
      </c>
    </row>
    <row r="33" spans="1:15" x14ac:dyDescent="0.35">
      <c r="A33" t="s">
        <v>854</v>
      </c>
      <c r="B33" t="s">
        <v>514</v>
      </c>
      <c r="C33" t="s">
        <v>150</v>
      </c>
      <c r="D33" t="s">
        <v>48</v>
      </c>
      <c r="E33" t="s">
        <v>49</v>
      </c>
      <c r="F33" t="s">
        <v>50</v>
      </c>
      <c r="G33" t="s">
        <v>13</v>
      </c>
      <c r="H33" t="s">
        <v>52</v>
      </c>
      <c r="I33" t="s">
        <v>52</v>
      </c>
      <c r="J33" t="s">
        <v>52</v>
      </c>
      <c r="M33" t="s">
        <v>69</v>
      </c>
      <c r="N33" t="s">
        <v>69</v>
      </c>
    </row>
    <row r="34" spans="1:15" x14ac:dyDescent="0.35">
      <c r="A34" t="s">
        <v>846</v>
      </c>
      <c r="B34" t="s">
        <v>670</v>
      </c>
      <c r="C34" t="s">
        <v>306</v>
      </c>
      <c r="D34" t="s">
        <v>48</v>
      </c>
      <c r="E34" t="s">
        <v>49</v>
      </c>
      <c r="F34" t="s">
        <v>50</v>
      </c>
      <c r="G34" t="s">
        <v>26</v>
      </c>
      <c r="H34" t="s">
        <v>52</v>
      </c>
      <c r="I34" t="s">
        <v>52</v>
      </c>
      <c r="J34" t="s">
        <v>52</v>
      </c>
      <c r="M34" t="s">
        <v>57</v>
      </c>
      <c r="N34" t="s">
        <v>57</v>
      </c>
      <c r="O34" t="s">
        <v>54</v>
      </c>
    </row>
    <row r="35" spans="1:15" hidden="1" x14ac:dyDescent="0.35">
      <c r="A35" t="s">
        <v>839</v>
      </c>
      <c r="B35" t="s">
        <v>469</v>
      </c>
      <c r="C35" t="s">
        <v>105</v>
      </c>
      <c r="D35" t="s">
        <v>48</v>
      </c>
      <c r="E35" t="s">
        <v>49</v>
      </c>
      <c r="F35" t="s">
        <v>55</v>
      </c>
      <c r="G35" t="s">
        <v>26</v>
      </c>
      <c r="H35" t="s">
        <v>52</v>
      </c>
      <c r="I35" t="s">
        <v>52</v>
      </c>
      <c r="J35" t="s">
        <v>52</v>
      </c>
      <c r="M35" t="s">
        <v>59</v>
      </c>
      <c r="N35" t="s">
        <v>59</v>
      </c>
      <c r="O35" t="s">
        <v>54</v>
      </c>
    </row>
    <row r="36" spans="1:15" hidden="1" x14ac:dyDescent="0.35">
      <c r="A36" t="s">
        <v>855</v>
      </c>
      <c r="B36" t="s">
        <v>507</v>
      </c>
      <c r="C36" t="s">
        <v>143</v>
      </c>
      <c r="D36" t="s">
        <v>48</v>
      </c>
      <c r="E36" t="s">
        <v>49</v>
      </c>
      <c r="F36" t="s">
        <v>55</v>
      </c>
      <c r="G36" t="s">
        <v>5</v>
      </c>
      <c r="H36" t="s">
        <v>52</v>
      </c>
      <c r="I36" t="s">
        <v>52</v>
      </c>
      <c r="J36" t="s">
        <v>52</v>
      </c>
      <c r="M36" t="s">
        <v>57</v>
      </c>
      <c r="N36" t="s">
        <v>57</v>
      </c>
      <c r="O36" t="s">
        <v>54</v>
      </c>
    </row>
    <row r="37" spans="1:15" x14ac:dyDescent="0.35">
      <c r="A37" t="s">
        <v>856</v>
      </c>
      <c r="B37" t="s">
        <v>789</v>
      </c>
      <c r="C37" t="s">
        <v>425</v>
      </c>
      <c r="D37" t="s">
        <v>48</v>
      </c>
      <c r="E37" t="s">
        <v>49</v>
      </c>
      <c r="F37" t="s">
        <v>50</v>
      </c>
      <c r="G37" t="s">
        <v>18</v>
      </c>
      <c r="H37" t="s">
        <v>52</v>
      </c>
      <c r="I37" t="s">
        <v>52</v>
      </c>
      <c r="J37" t="s">
        <v>52</v>
      </c>
      <c r="M37" t="s">
        <v>61</v>
      </c>
      <c r="N37" t="s">
        <v>61</v>
      </c>
      <c r="O37" t="s">
        <v>54</v>
      </c>
    </row>
    <row r="38" spans="1:15" x14ac:dyDescent="0.35">
      <c r="A38" t="s">
        <v>857</v>
      </c>
      <c r="B38" t="s">
        <v>714</v>
      </c>
      <c r="C38" t="s">
        <v>350</v>
      </c>
      <c r="D38" t="s">
        <v>48</v>
      </c>
      <c r="E38" t="s">
        <v>49</v>
      </c>
      <c r="F38" t="s">
        <v>50</v>
      </c>
      <c r="G38" t="s">
        <v>4</v>
      </c>
      <c r="H38" t="s">
        <v>52</v>
      </c>
      <c r="I38" t="s">
        <v>52</v>
      </c>
      <c r="J38" t="s">
        <v>52</v>
      </c>
      <c r="M38" t="s">
        <v>67</v>
      </c>
      <c r="N38" t="s">
        <v>67</v>
      </c>
      <c r="O38" t="s">
        <v>54</v>
      </c>
    </row>
    <row r="39" spans="1:15" hidden="1" x14ac:dyDescent="0.35">
      <c r="A39" t="s">
        <v>847</v>
      </c>
      <c r="B39" t="s">
        <v>678</v>
      </c>
      <c r="C39" t="s">
        <v>314</v>
      </c>
      <c r="D39" t="s">
        <v>48</v>
      </c>
      <c r="E39" t="s">
        <v>49</v>
      </c>
      <c r="F39" t="s">
        <v>55</v>
      </c>
      <c r="G39" t="s">
        <v>9</v>
      </c>
      <c r="H39" t="s">
        <v>52</v>
      </c>
      <c r="I39" t="s">
        <v>60</v>
      </c>
      <c r="J39" t="s">
        <v>52</v>
      </c>
      <c r="M39" t="s">
        <v>67</v>
      </c>
      <c r="N39" t="s">
        <v>67</v>
      </c>
      <c r="O39" t="s">
        <v>54</v>
      </c>
    </row>
    <row r="40" spans="1:15" x14ac:dyDescent="0.35">
      <c r="A40" t="s">
        <v>858</v>
      </c>
      <c r="B40" t="s">
        <v>552</v>
      </c>
      <c r="C40" t="s">
        <v>188</v>
      </c>
      <c r="D40" t="s">
        <v>48</v>
      </c>
      <c r="E40" t="s">
        <v>49</v>
      </c>
      <c r="F40" t="s">
        <v>50</v>
      </c>
      <c r="G40" t="s">
        <v>5</v>
      </c>
      <c r="H40" t="s">
        <v>52</v>
      </c>
      <c r="I40" t="s">
        <v>52</v>
      </c>
      <c r="J40" t="s">
        <v>51</v>
      </c>
      <c r="K40" t="s">
        <v>51</v>
      </c>
      <c r="M40" t="s">
        <v>74</v>
      </c>
      <c r="N40" t="s">
        <v>74</v>
      </c>
      <c r="O40" t="s">
        <v>54</v>
      </c>
    </row>
    <row r="41" spans="1:15" x14ac:dyDescent="0.35">
      <c r="A41" t="s">
        <v>859</v>
      </c>
      <c r="B41" t="s">
        <v>743</v>
      </c>
      <c r="C41" t="s">
        <v>379</v>
      </c>
      <c r="D41" t="s">
        <v>48</v>
      </c>
      <c r="E41" t="s">
        <v>49</v>
      </c>
      <c r="F41" t="s">
        <v>50</v>
      </c>
      <c r="G41" t="s">
        <v>18</v>
      </c>
      <c r="H41" t="s">
        <v>52</v>
      </c>
      <c r="I41" t="s">
        <v>52</v>
      </c>
      <c r="J41" t="s">
        <v>52</v>
      </c>
      <c r="M41" t="s">
        <v>59</v>
      </c>
      <c r="N41" t="s">
        <v>59</v>
      </c>
      <c r="O41" t="s">
        <v>54</v>
      </c>
    </row>
    <row r="42" spans="1:15" hidden="1" x14ac:dyDescent="0.35">
      <c r="A42" t="s">
        <v>860</v>
      </c>
      <c r="B42" t="s">
        <v>531</v>
      </c>
      <c r="C42" t="s">
        <v>167</v>
      </c>
      <c r="D42" t="s">
        <v>48</v>
      </c>
      <c r="E42" t="s">
        <v>49</v>
      </c>
      <c r="F42" t="s">
        <v>55</v>
      </c>
      <c r="G42" t="s">
        <v>9</v>
      </c>
      <c r="H42" t="s">
        <v>52</v>
      </c>
      <c r="I42" t="s">
        <v>60</v>
      </c>
      <c r="J42" t="s">
        <v>52</v>
      </c>
      <c r="M42" t="s">
        <v>63</v>
      </c>
      <c r="N42" t="s">
        <v>63</v>
      </c>
      <c r="O42" t="s">
        <v>54</v>
      </c>
    </row>
    <row r="43" spans="1:15" hidden="1" x14ac:dyDescent="0.35">
      <c r="A43" t="s">
        <v>851</v>
      </c>
      <c r="B43" t="s">
        <v>804</v>
      </c>
      <c r="C43" t="s">
        <v>440</v>
      </c>
      <c r="D43" t="s">
        <v>48</v>
      </c>
      <c r="E43" t="s">
        <v>49</v>
      </c>
      <c r="F43" t="s">
        <v>55</v>
      </c>
      <c r="G43" t="s">
        <v>5</v>
      </c>
      <c r="H43" t="s">
        <v>51</v>
      </c>
      <c r="I43" t="s">
        <v>52</v>
      </c>
      <c r="J43" t="s">
        <v>51</v>
      </c>
      <c r="K43" t="s">
        <v>51</v>
      </c>
      <c r="M43" t="s">
        <v>67</v>
      </c>
      <c r="N43" t="s">
        <v>67</v>
      </c>
      <c r="O43" t="s">
        <v>54</v>
      </c>
    </row>
    <row r="44" spans="1:15" hidden="1" x14ac:dyDescent="0.35">
      <c r="A44" t="s">
        <v>837</v>
      </c>
      <c r="B44" t="s">
        <v>555</v>
      </c>
      <c r="C44" t="s">
        <v>191</v>
      </c>
      <c r="D44" t="s">
        <v>48</v>
      </c>
      <c r="E44" t="s">
        <v>49</v>
      </c>
      <c r="F44" t="s">
        <v>55</v>
      </c>
      <c r="G44" t="s">
        <v>26</v>
      </c>
      <c r="H44" t="s">
        <v>52</v>
      </c>
      <c r="I44" t="s">
        <v>60</v>
      </c>
      <c r="J44" t="s">
        <v>52</v>
      </c>
      <c r="M44" t="s">
        <v>63</v>
      </c>
      <c r="N44" t="s">
        <v>63</v>
      </c>
      <c r="O44" t="s">
        <v>54</v>
      </c>
    </row>
    <row r="45" spans="1:15" x14ac:dyDescent="0.35">
      <c r="A45" t="s">
        <v>857</v>
      </c>
      <c r="B45" t="s">
        <v>656</v>
      </c>
      <c r="C45" t="s">
        <v>292</v>
      </c>
      <c r="D45" t="s">
        <v>48</v>
      </c>
      <c r="E45" t="s">
        <v>49</v>
      </c>
      <c r="F45" t="s">
        <v>50</v>
      </c>
      <c r="G45" t="s">
        <v>5</v>
      </c>
      <c r="H45" t="s">
        <v>52</v>
      </c>
      <c r="I45" t="s">
        <v>60</v>
      </c>
      <c r="J45" t="s">
        <v>52</v>
      </c>
      <c r="M45" t="s">
        <v>67</v>
      </c>
      <c r="N45" t="s">
        <v>67</v>
      </c>
      <c r="O45" t="s">
        <v>54</v>
      </c>
    </row>
    <row r="46" spans="1:15" x14ac:dyDescent="0.35">
      <c r="A46" t="s">
        <v>861</v>
      </c>
      <c r="B46" t="s">
        <v>595</v>
      </c>
      <c r="C46" t="s">
        <v>231</v>
      </c>
      <c r="D46" t="s">
        <v>48</v>
      </c>
      <c r="E46" t="s">
        <v>49</v>
      </c>
      <c r="F46" t="s">
        <v>50</v>
      </c>
      <c r="G46" t="s">
        <v>1</v>
      </c>
      <c r="H46" t="s">
        <v>52</v>
      </c>
      <c r="I46" t="s">
        <v>52</v>
      </c>
      <c r="J46" t="s">
        <v>51</v>
      </c>
      <c r="M46" t="s">
        <v>59</v>
      </c>
      <c r="N46" t="s">
        <v>59</v>
      </c>
      <c r="O46" t="s">
        <v>54</v>
      </c>
    </row>
    <row r="47" spans="1:15" hidden="1" x14ac:dyDescent="0.35">
      <c r="A47" t="s">
        <v>835</v>
      </c>
      <c r="B47" t="s">
        <v>790</v>
      </c>
      <c r="C47" t="s">
        <v>426</v>
      </c>
      <c r="D47" t="s">
        <v>48</v>
      </c>
      <c r="E47" t="s">
        <v>49</v>
      </c>
      <c r="F47" t="s">
        <v>55</v>
      </c>
      <c r="G47" t="s">
        <v>26</v>
      </c>
      <c r="H47" t="s">
        <v>52</v>
      </c>
      <c r="I47" t="s">
        <v>52</v>
      </c>
      <c r="J47" t="s">
        <v>52</v>
      </c>
      <c r="M47" t="s">
        <v>63</v>
      </c>
      <c r="N47" t="s">
        <v>63</v>
      </c>
      <c r="O47" t="s">
        <v>54</v>
      </c>
    </row>
    <row r="48" spans="1:15" hidden="1" x14ac:dyDescent="0.35">
      <c r="A48" t="s">
        <v>862</v>
      </c>
      <c r="B48" t="s">
        <v>644</v>
      </c>
      <c r="C48" t="s">
        <v>280</v>
      </c>
      <c r="D48" t="s">
        <v>48</v>
      </c>
      <c r="E48" t="s">
        <v>49</v>
      </c>
      <c r="F48" t="s">
        <v>55</v>
      </c>
      <c r="G48" t="s">
        <v>9</v>
      </c>
      <c r="H48" t="s">
        <v>52</v>
      </c>
      <c r="I48" t="s">
        <v>52</v>
      </c>
      <c r="J48" t="s">
        <v>51</v>
      </c>
      <c r="M48" t="s">
        <v>67</v>
      </c>
      <c r="N48" t="s">
        <v>67</v>
      </c>
      <c r="O48" t="s">
        <v>54</v>
      </c>
    </row>
    <row r="49" spans="1:15" x14ac:dyDescent="0.35">
      <c r="A49" t="s">
        <v>848</v>
      </c>
      <c r="B49" t="s">
        <v>481</v>
      </c>
      <c r="C49" t="s">
        <v>117</v>
      </c>
      <c r="D49" t="s">
        <v>48</v>
      </c>
      <c r="E49" t="s">
        <v>49</v>
      </c>
      <c r="F49" t="s">
        <v>50</v>
      </c>
      <c r="G49" t="s">
        <v>13</v>
      </c>
      <c r="H49" t="s">
        <v>52</v>
      </c>
      <c r="I49" t="s">
        <v>52</v>
      </c>
      <c r="J49" t="s">
        <v>52</v>
      </c>
      <c r="M49" t="s">
        <v>56</v>
      </c>
      <c r="N49" t="s">
        <v>56</v>
      </c>
      <c r="O49" t="s">
        <v>54</v>
      </c>
    </row>
    <row r="50" spans="1:15" hidden="1" x14ac:dyDescent="0.35">
      <c r="A50" t="s">
        <v>837</v>
      </c>
      <c r="B50" t="s">
        <v>654</v>
      </c>
      <c r="C50" t="s">
        <v>290</v>
      </c>
      <c r="D50" t="s">
        <v>48</v>
      </c>
      <c r="E50" t="s">
        <v>49</v>
      </c>
      <c r="F50" t="s">
        <v>55</v>
      </c>
      <c r="G50" t="s">
        <v>29</v>
      </c>
      <c r="H50" t="s">
        <v>52</v>
      </c>
      <c r="I50" t="s">
        <v>52</v>
      </c>
      <c r="J50" t="s">
        <v>51</v>
      </c>
      <c r="M50" t="s">
        <v>63</v>
      </c>
      <c r="N50" t="s">
        <v>63</v>
      </c>
      <c r="O50" t="s">
        <v>54</v>
      </c>
    </row>
    <row r="51" spans="1:15" hidden="1" x14ac:dyDescent="0.35">
      <c r="A51" t="s">
        <v>862</v>
      </c>
      <c r="B51" t="s">
        <v>703</v>
      </c>
      <c r="C51" t="s">
        <v>339</v>
      </c>
      <c r="D51" t="s">
        <v>48</v>
      </c>
      <c r="E51" t="s">
        <v>49</v>
      </c>
      <c r="F51" t="s">
        <v>55</v>
      </c>
      <c r="G51" t="s">
        <v>5</v>
      </c>
      <c r="H51" t="s">
        <v>52</v>
      </c>
      <c r="I51" t="s">
        <v>52</v>
      </c>
      <c r="J51" t="s">
        <v>52</v>
      </c>
      <c r="M51" t="s">
        <v>67</v>
      </c>
      <c r="N51" t="s">
        <v>67</v>
      </c>
      <c r="O51" t="s">
        <v>54</v>
      </c>
    </row>
    <row r="52" spans="1:15" hidden="1" x14ac:dyDescent="0.35">
      <c r="A52" t="s">
        <v>842</v>
      </c>
      <c r="B52" t="s">
        <v>530</v>
      </c>
      <c r="C52" t="s">
        <v>166</v>
      </c>
      <c r="D52" t="s">
        <v>48</v>
      </c>
      <c r="E52" t="s">
        <v>49</v>
      </c>
      <c r="F52" t="s">
        <v>55</v>
      </c>
      <c r="G52" t="s">
        <v>5</v>
      </c>
      <c r="H52" t="s">
        <v>52</v>
      </c>
      <c r="I52" t="s">
        <v>60</v>
      </c>
      <c r="J52" t="s">
        <v>51</v>
      </c>
      <c r="L52" t="s">
        <v>70</v>
      </c>
      <c r="M52" t="s">
        <v>57</v>
      </c>
      <c r="N52" t="s">
        <v>57</v>
      </c>
      <c r="O52" t="s">
        <v>54</v>
      </c>
    </row>
    <row r="53" spans="1:15" x14ac:dyDescent="0.35">
      <c r="A53" t="s">
        <v>863</v>
      </c>
      <c r="B53" t="s">
        <v>501</v>
      </c>
      <c r="C53" t="s">
        <v>137</v>
      </c>
      <c r="D53" t="s">
        <v>48</v>
      </c>
      <c r="E53" t="s">
        <v>49</v>
      </c>
      <c r="F53" t="s">
        <v>50</v>
      </c>
      <c r="G53" t="s">
        <v>5</v>
      </c>
      <c r="H53" t="s">
        <v>52</v>
      </c>
      <c r="I53" t="s">
        <v>60</v>
      </c>
      <c r="J53" t="s">
        <v>51</v>
      </c>
      <c r="M53" t="s">
        <v>56</v>
      </c>
      <c r="N53" t="s">
        <v>56</v>
      </c>
      <c r="O53" t="s">
        <v>54</v>
      </c>
    </row>
    <row r="54" spans="1:15" x14ac:dyDescent="0.35">
      <c r="A54" t="s">
        <v>864</v>
      </c>
      <c r="B54" t="s">
        <v>506</v>
      </c>
      <c r="C54" t="s">
        <v>142</v>
      </c>
      <c r="D54" t="s">
        <v>48</v>
      </c>
      <c r="E54" t="s">
        <v>49</v>
      </c>
      <c r="F54" t="s">
        <v>50</v>
      </c>
      <c r="G54" t="s">
        <v>9</v>
      </c>
      <c r="H54" t="s">
        <v>51</v>
      </c>
      <c r="I54" t="s">
        <v>52</v>
      </c>
      <c r="J54" t="s">
        <v>52</v>
      </c>
      <c r="M54" t="s">
        <v>57</v>
      </c>
      <c r="N54" t="s">
        <v>57</v>
      </c>
      <c r="O54" t="s">
        <v>54</v>
      </c>
    </row>
    <row r="55" spans="1:15" x14ac:dyDescent="0.35">
      <c r="A55" t="s">
        <v>865</v>
      </c>
      <c r="B55" t="s">
        <v>592</v>
      </c>
      <c r="C55" t="s">
        <v>228</v>
      </c>
      <c r="D55" t="s">
        <v>48</v>
      </c>
      <c r="E55" t="s">
        <v>49</v>
      </c>
      <c r="F55" t="s">
        <v>50</v>
      </c>
      <c r="G55" t="s">
        <v>18</v>
      </c>
      <c r="H55" t="s">
        <v>52</v>
      </c>
      <c r="I55" t="s">
        <v>52</v>
      </c>
      <c r="J55" t="s">
        <v>51</v>
      </c>
      <c r="M55" t="s">
        <v>82</v>
      </c>
      <c r="N55" t="s">
        <v>82</v>
      </c>
      <c r="O55" t="s">
        <v>54</v>
      </c>
    </row>
    <row r="56" spans="1:15" x14ac:dyDescent="0.35">
      <c r="A56" t="s">
        <v>866</v>
      </c>
      <c r="B56" t="s">
        <v>828</v>
      </c>
      <c r="C56" t="s">
        <v>464</v>
      </c>
      <c r="D56" t="s">
        <v>48</v>
      </c>
      <c r="E56" t="s">
        <v>49</v>
      </c>
      <c r="F56" t="s">
        <v>50</v>
      </c>
      <c r="G56" t="s">
        <v>0</v>
      </c>
      <c r="H56" t="s">
        <v>52</v>
      </c>
      <c r="I56" t="s">
        <v>52</v>
      </c>
      <c r="J56" t="s">
        <v>51</v>
      </c>
      <c r="K56" t="s">
        <v>51</v>
      </c>
      <c r="M56" t="s">
        <v>75</v>
      </c>
      <c r="N56" t="s">
        <v>75</v>
      </c>
      <c r="O56" t="s">
        <v>54</v>
      </c>
    </row>
    <row r="57" spans="1:15" x14ac:dyDescent="0.35">
      <c r="A57" t="s">
        <v>867</v>
      </c>
      <c r="B57" t="s">
        <v>661</v>
      </c>
      <c r="C57" t="s">
        <v>297</v>
      </c>
      <c r="D57" t="s">
        <v>48</v>
      </c>
      <c r="E57" t="s">
        <v>49</v>
      </c>
      <c r="F57" t="s">
        <v>50</v>
      </c>
      <c r="G57" t="s">
        <v>26</v>
      </c>
      <c r="H57" t="s">
        <v>52</v>
      </c>
      <c r="I57" t="s">
        <v>60</v>
      </c>
      <c r="J57" t="s">
        <v>52</v>
      </c>
      <c r="M57" t="s">
        <v>63</v>
      </c>
      <c r="N57" t="s">
        <v>63</v>
      </c>
      <c r="O57" t="s">
        <v>54</v>
      </c>
    </row>
    <row r="58" spans="1:15" x14ac:dyDescent="0.35">
      <c r="A58" t="s">
        <v>843</v>
      </c>
      <c r="B58" t="s">
        <v>792</v>
      </c>
      <c r="C58" t="s">
        <v>428</v>
      </c>
      <c r="D58" t="s">
        <v>48</v>
      </c>
      <c r="E58" t="s">
        <v>49</v>
      </c>
      <c r="F58" t="s">
        <v>50</v>
      </c>
      <c r="G58" t="s">
        <v>26</v>
      </c>
      <c r="H58" t="s">
        <v>52</v>
      </c>
      <c r="I58" t="s">
        <v>60</v>
      </c>
      <c r="J58" t="s">
        <v>51</v>
      </c>
      <c r="M58" t="s">
        <v>67</v>
      </c>
      <c r="N58" t="s">
        <v>67</v>
      </c>
      <c r="O58" t="s">
        <v>54</v>
      </c>
    </row>
    <row r="59" spans="1:15" x14ac:dyDescent="0.35">
      <c r="A59" t="s">
        <v>868</v>
      </c>
      <c r="B59" t="s">
        <v>546</v>
      </c>
      <c r="C59" t="s">
        <v>182</v>
      </c>
      <c r="D59" t="s">
        <v>48</v>
      </c>
      <c r="E59" t="s">
        <v>49</v>
      </c>
      <c r="F59" t="s">
        <v>50</v>
      </c>
      <c r="G59" t="s">
        <v>5</v>
      </c>
      <c r="H59" t="s">
        <v>52</v>
      </c>
      <c r="I59" t="s">
        <v>52</v>
      </c>
      <c r="J59" t="s">
        <v>52</v>
      </c>
      <c r="M59" t="s">
        <v>63</v>
      </c>
      <c r="N59" t="s">
        <v>63</v>
      </c>
      <c r="O59" t="s">
        <v>54</v>
      </c>
    </row>
    <row r="60" spans="1:15" hidden="1" x14ac:dyDescent="0.35">
      <c r="A60" t="s">
        <v>869</v>
      </c>
      <c r="B60" t="s">
        <v>791</v>
      </c>
      <c r="C60" t="s">
        <v>427</v>
      </c>
      <c r="D60" t="s">
        <v>48</v>
      </c>
      <c r="E60" t="s">
        <v>49</v>
      </c>
      <c r="F60" t="s">
        <v>55</v>
      </c>
      <c r="G60" t="s">
        <v>5</v>
      </c>
      <c r="H60" t="s">
        <v>52</v>
      </c>
      <c r="I60" t="s">
        <v>60</v>
      </c>
      <c r="J60" t="s">
        <v>51</v>
      </c>
      <c r="K60" t="s">
        <v>51</v>
      </c>
      <c r="L60" t="s">
        <v>91</v>
      </c>
      <c r="M60" t="s">
        <v>66</v>
      </c>
      <c r="N60" t="s">
        <v>66</v>
      </c>
      <c r="O60" t="s">
        <v>54</v>
      </c>
    </row>
    <row r="61" spans="1:15" x14ac:dyDescent="0.35">
      <c r="A61" t="s">
        <v>870</v>
      </c>
      <c r="B61" t="s">
        <v>521</v>
      </c>
      <c r="C61" t="s">
        <v>157</v>
      </c>
      <c r="D61" t="s">
        <v>48</v>
      </c>
      <c r="E61" t="s">
        <v>49</v>
      </c>
      <c r="F61" t="s">
        <v>50</v>
      </c>
      <c r="G61" t="s">
        <v>22</v>
      </c>
      <c r="H61" t="s">
        <v>52</v>
      </c>
      <c r="I61" t="s">
        <v>52</v>
      </c>
      <c r="J61" t="s">
        <v>52</v>
      </c>
      <c r="M61" t="s">
        <v>67</v>
      </c>
      <c r="N61" t="s">
        <v>67</v>
      </c>
      <c r="O61" t="s">
        <v>54</v>
      </c>
    </row>
    <row r="62" spans="1:15" hidden="1" x14ac:dyDescent="0.35">
      <c r="A62" t="s">
        <v>845</v>
      </c>
      <c r="B62" t="s">
        <v>505</v>
      </c>
      <c r="C62" t="s">
        <v>141</v>
      </c>
      <c r="D62" t="s">
        <v>48</v>
      </c>
      <c r="E62" t="s">
        <v>49</v>
      </c>
      <c r="F62" t="s">
        <v>55</v>
      </c>
      <c r="G62" t="s">
        <v>0</v>
      </c>
      <c r="H62" t="s">
        <v>52</v>
      </c>
      <c r="I62" t="s">
        <v>52</v>
      </c>
      <c r="J62" t="s">
        <v>51</v>
      </c>
      <c r="M62" t="s">
        <v>57</v>
      </c>
      <c r="N62" t="s">
        <v>57</v>
      </c>
      <c r="O62" t="s">
        <v>54</v>
      </c>
    </row>
    <row r="63" spans="1:15" hidden="1" x14ac:dyDescent="0.35">
      <c r="A63" t="s">
        <v>849</v>
      </c>
      <c r="B63" t="s">
        <v>540</v>
      </c>
      <c r="C63" t="s">
        <v>176</v>
      </c>
      <c r="D63" t="s">
        <v>48</v>
      </c>
      <c r="E63" t="s">
        <v>49</v>
      </c>
      <c r="F63" t="s">
        <v>55</v>
      </c>
      <c r="G63" t="s">
        <v>26</v>
      </c>
      <c r="H63" t="s">
        <v>52</v>
      </c>
      <c r="I63" t="s">
        <v>52</v>
      </c>
      <c r="J63" t="s">
        <v>51</v>
      </c>
      <c r="M63" t="s">
        <v>59</v>
      </c>
      <c r="N63" t="s">
        <v>59</v>
      </c>
      <c r="O63" t="s">
        <v>54</v>
      </c>
    </row>
    <row r="64" spans="1:15" x14ac:dyDescent="0.35">
      <c r="A64" t="s">
        <v>871</v>
      </c>
      <c r="B64" t="s">
        <v>515</v>
      </c>
      <c r="C64" t="s">
        <v>151</v>
      </c>
      <c r="D64" t="s">
        <v>48</v>
      </c>
      <c r="E64" t="s">
        <v>49</v>
      </c>
      <c r="F64" t="s">
        <v>50</v>
      </c>
      <c r="G64" t="s">
        <v>31</v>
      </c>
      <c r="H64" t="s">
        <v>52</v>
      </c>
      <c r="I64" t="s">
        <v>52</v>
      </c>
      <c r="J64" t="s">
        <v>52</v>
      </c>
      <c r="M64" t="s">
        <v>56</v>
      </c>
      <c r="N64" t="s">
        <v>56</v>
      </c>
      <c r="O64" t="s">
        <v>54</v>
      </c>
    </row>
    <row r="65" spans="1:15" x14ac:dyDescent="0.35">
      <c r="A65" t="s">
        <v>854</v>
      </c>
      <c r="B65" t="s">
        <v>584</v>
      </c>
      <c r="C65" t="s">
        <v>220</v>
      </c>
      <c r="D65" t="s">
        <v>48</v>
      </c>
      <c r="E65" t="s">
        <v>49</v>
      </c>
      <c r="F65" t="s">
        <v>50</v>
      </c>
      <c r="G65" t="s">
        <v>5</v>
      </c>
      <c r="H65" t="s">
        <v>51</v>
      </c>
      <c r="I65" t="s">
        <v>52</v>
      </c>
      <c r="J65" t="s">
        <v>51</v>
      </c>
      <c r="K65" t="s">
        <v>80</v>
      </c>
      <c r="M65" t="s">
        <v>69</v>
      </c>
      <c r="N65" t="s">
        <v>69</v>
      </c>
      <c r="O65" t="s">
        <v>54</v>
      </c>
    </row>
    <row r="66" spans="1:15" x14ac:dyDescent="0.35">
      <c r="A66" t="s">
        <v>850</v>
      </c>
      <c r="B66" t="s">
        <v>474</v>
      </c>
      <c r="C66" t="s">
        <v>110</v>
      </c>
      <c r="D66" t="s">
        <v>48</v>
      </c>
      <c r="E66" t="s">
        <v>49</v>
      </c>
      <c r="F66" t="s">
        <v>50</v>
      </c>
      <c r="G66" t="s">
        <v>29</v>
      </c>
      <c r="H66" t="s">
        <v>52</v>
      </c>
      <c r="I66" t="s">
        <v>52</v>
      </c>
      <c r="J66" t="s">
        <v>52</v>
      </c>
      <c r="M66" t="s">
        <v>57</v>
      </c>
      <c r="N66" t="s">
        <v>57</v>
      </c>
      <c r="O66" t="s">
        <v>54</v>
      </c>
    </row>
    <row r="67" spans="1:15" hidden="1" x14ac:dyDescent="0.35">
      <c r="A67" t="s">
        <v>855</v>
      </c>
      <c r="B67" t="s">
        <v>768</v>
      </c>
      <c r="C67" t="s">
        <v>404</v>
      </c>
      <c r="D67" t="s">
        <v>48</v>
      </c>
      <c r="E67" t="s">
        <v>49</v>
      </c>
      <c r="F67" t="s">
        <v>55</v>
      </c>
      <c r="G67" t="s">
        <v>9</v>
      </c>
      <c r="H67" t="s">
        <v>52</v>
      </c>
      <c r="I67" t="s">
        <v>52</v>
      </c>
      <c r="J67" t="s">
        <v>52</v>
      </c>
      <c r="M67" t="s">
        <v>57</v>
      </c>
      <c r="N67" t="s">
        <v>57</v>
      </c>
      <c r="O67" t="s">
        <v>54</v>
      </c>
    </row>
    <row r="68" spans="1:15" hidden="1" x14ac:dyDescent="0.35">
      <c r="A68" t="s">
        <v>872</v>
      </c>
      <c r="B68" t="s">
        <v>715</v>
      </c>
      <c r="C68" t="s">
        <v>351</v>
      </c>
      <c r="D68" t="s">
        <v>48</v>
      </c>
      <c r="E68" t="s">
        <v>49</v>
      </c>
      <c r="F68" t="s">
        <v>55</v>
      </c>
      <c r="G68" t="s">
        <v>9</v>
      </c>
      <c r="H68" t="s">
        <v>51</v>
      </c>
      <c r="I68" t="s">
        <v>52</v>
      </c>
      <c r="J68" t="s">
        <v>52</v>
      </c>
      <c r="M68" t="s">
        <v>57</v>
      </c>
      <c r="N68" t="s">
        <v>57</v>
      </c>
      <c r="O68" t="s">
        <v>54</v>
      </c>
    </row>
    <row r="69" spans="1:15" x14ac:dyDescent="0.35">
      <c r="A69" t="s">
        <v>873</v>
      </c>
      <c r="B69" t="s">
        <v>637</v>
      </c>
      <c r="C69" t="s">
        <v>273</v>
      </c>
      <c r="D69" t="s">
        <v>48</v>
      </c>
      <c r="E69" t="s">
        <v>49</v>
      </c>
      <c r="F69" t="s">
        <v>50</v>
      </c>
      <c r="G69" t="s">
        <v>29</v>
      </c>
      <c r="H69" t="s">
        <v>52</v>
      </c>
      <c r="I69" t="s">
        <v>60</v>
      </c>
      <c r="J69" t="s">
        <v>51</v>
      </c>
      <c r="M69" t="s">
        <v>57</v>
      </c>
      <c r="N69" t="s">
        <v>57</v>
      </c>
      <c r="O69" t="s">
        <v>54</v>
      </c>
    </row>
    <row r="70" spans="1:15" hidden="1" x14ac:dyDescent="0.35">
      <c r="A70" t="s">
        <v>845</v>
      </c>
      <c r="B70" t="s">
        <v>499</v>
      </c>
      <c r="C70" t="s">
        <v>135</v>
      </c>
      <c r="D70" t="s">
        <v>48</v>
      </c>
      <c r="E70" t="s">
        <v>49</v>
      </c>
      <c r="F70" t="s">
        <v>55</v>
      </c>
      <c r="G70" t="s">
        <v>11</v>
      </c>
      <c r="H70" t="s">
        <v>52</v>
      </c>
      <c r="I70" t="s">
        <v>52</v>
      </c>
      <c r="J70" t="s">
        <v>52</v>
      </c>
      <c r="M70" t="s">
        <v>57</v>
      </c>
      <c r="N70" t="s">
        <v>57</v>
      </c>
      <c r="O70" t="s">
        <v>54</v>
      </c>
    </row>
    <row r="71" spans="1:15" hidden="1" x14ac:dyDescent="0.35">
      <c r="A71" t="s">
        <v>874</v>
      </c>
      <c r="B71" t="s">
        <v>606</v>
      </c>
      <c r="C71" t="s">
        <v>242</v>
      </c>
      <c r="D71" t="s">
        <v>48</v>
      </c>
      <c r="E71" t="s">
        <v>49</v>
      </c>
      <c r="F71" t="s">
        <v>55</v>
      </c>
      <c r="G71" t="s">
        <v>26</v>
      </c>
      <c r="H71" t="s">
        <v>52</v>
      </c>
      <c r="I71" t="s">
        <v>52</v>
      </c>
      <c r="J71" t="s">
        <v>51</v>
      </c>
      <c r="M71" t="s">
        <v>66</v>
      </c>
      <c r="N71" t="s">
        <v>66</v>
      </c>
      <c r="O71" t="s">
        <v>54</v>
      </c>
    </row>
    <row r="72" spans="1:15" x14ac:dyDescent="0.35">
      <c r="A72" t="s">
        <v>875</v>
      </c>
      <c r="B72" t="s">
        <v>618</v>
      </c>
      <c r="C72" t="s">
        <v>254</v>
      </c>
      <c r="D72" t="s">
        <v>48</v>
      </c>
      <c r="E72" t="s">
        <v>49</v>
      </c>
      <c r="F72" t="s">
        <v>50</v>
      </c>
      <c r="G72" t="s">
        <v>15</v>
      </c>
      <c r="H72" t="s">
        <v>52</v>
      </c>
      <c r="I72" t="s">
        <v>52</v>
      </c>
      <c r="J72" t="s">
        <v>51</v>
      </c>
      <c r="M72" t="s">
        <v>67</v>
      </c>
      <c r="N72" t="s">
        <v>67</v>
      </c>
      <c r="O72" t="s">
        <v>54</v>
      </c>
    </row>
    <row r="73" spans="1:15" hidden="1" x14ac:dyDescent="0.35">
      <c r="A73" t="s">
        <v>876</v>
      </c>
      <c r="B73" t="s">
        <v>596</v>
      </c>
      <c r="C73" t="s">
        <v>232</v>
      </c>
      <c r="D73" t="s">
        <v>48</v>
      </c>
      <c r="E73" t="s">
        <v>49</v>
      </c>
      <c r="F73" t="s">
        <v>55</v>
      </c>
      <c r="G73" t="s">
        <v>7</v>
      </c>
      <c r="H73" t="s">
        <v>52</v>
      </c>
      <c r="I73" t="s">
        <v>52</v>
      </c>
      <c r="J73" t="s">
        <v>52</v>
      </c>
      <c r="M73" t="s">
        <v>63</v>
      </c>
      <c r="N73" t="s">
        <v>63</v>
      </c>
      <c r="O73" t="s">
        <v>54</v>
      </c>
    </row>
    <row r="74" spans="1:15" x14ac:dyDescent="0.35">
      <c r="A74" t="s">
        <v>850</v>
      </c>
      <c r="B74" t="s">
        <v>621</v>
      </c>
      <c r="C74" t="s">
        <v>257</v>
      </c>
      <c r="D74" t="s">
        <v>48</v>
      </c>
      <c r="E74" t="s">
        <v>49</v>
      </c>
      <c r="F74" t="s">
        <v>50</v>
      </c>
      <c r="G74" t="s">
        <v>1</v>
      </c>
      <c r="H74" t="s">
        <v>52</v>
      </c>
      <c r="I74" t="s">
        <v>52</v>
      </c>
      <c r="J74" t="s">
        <v>52</v>
      </c>
      <c r="M74" t="s">
        <v>57</v>
      </c>
      <c r="N74" t="s">
        <v>57</v>
      </c>
      <c r="O74" t="s">
        <v>54</v>
      </c>
    </row>
    <row r="75" spans="1:15" hidden="1" x14ac:dyDescent="0.35">
      <c r="A75" t="s">
        <v>831</v>
      </c>
      <c r="B75" t="s">
        <v>778</v>
      </c>
      <c r="C75" t="s">
        <v>414</v>
      </c>
      <c r="D75" t="s">
        <v>48</v>
      </c>
      <c r="E75" t="s">
        <v>49</v>
      </c>
      <c r="F75" t="s">
        <v>55</v>
      </c>
      <c r="G75" t="s">
        <v>9</v>
      </c>
      <c r="H75" t="s">
        <v>52</v>
      </c>
      <c r="I75" t="s">
        <v>60</v>
      </c>
      <c r="J75" t="s">
        <v>51</v>
      </c>
      <c r="M75" t="s">
        <v>59</v>
      </c>
      <c r="N75" t="s">
        <v>59</v>
      </c>
      <c r="O75" t="s">
        <v>54</v>
      </c>
    </row>
    <row r="76" spans="1:15" x14ac:dyDescent="0.35">
      <c r="A76" t="s">
        <v>877</v>
      </c>
      <c r="B76" t="s">
        <v>475</v>
      </c>
      <c r="C76" t="s">
        <v>111</v>
      </c>
      <c r="D76" t="s">
        <v>48</v>
      </c>
      <c r="E76" t="s">
        <v>49</v>
      </c>
      <c r="F76" t="s">
        <v>50</v>
      </c>
      <c r="G76" t="s">
        <v>26</v>
      </c>
      <c r="H76" t="s">
        <v>52</v>
      </c>
      <c r="I76" t="s">
        <v>60</v>
      </c>
      <c r="J76" t="s">
        <v>52</v>
      </c>
      <c r="M76" t="s">
        <v>63</v>
      </c>
      <c r="N76" t="s">
        <v>63</v>
      </c>
      <c r="O76" t="s">
        <v>54</v>
      </c>
    </row>
    <row r="77" spans="1:15" hidden="1" x14ac:dyDescent="0.35">
      <c r="A77" t="s">
        <v>878</v>
      </c>
      <c r="B77" t="s">
        <v>821</v>
      </c>
      <c r="C77" t="s">
        <v>457</v>
      </c>
      <c r="D77" t="s">
        <v>48</v>
      </c>
      <c r="E77" t="s">
        <v>49</v>
      </c>
      <c r="F77" t="s">
        <v>55</v>
      </c>
      <c r="G77" t="s">
        <v>29</v>
      </c>
      <c r="H77" t="s">
        <v>52</v>
      </c>
      <c r="I77" t="s">
        <v>52</v>
      </c>
      <c r="J77" t="s">
        <v>51</v>
      </c>
      <c r="K77" t="s">
        <v>51</v>
      </c>
      <c r="M77" t="s">
        <v>97</v>
      </c>
      <c r="N77" t="s">
        <v>97</v>
      </c>
      <c r="O77" t="s">
        <v>54</v>
      </c>
    </row>
    <row r="78" spans="1:15" hidden="1" x14ac:dyDescent="0.35">
      <c r="A78" t="s">
        <v>845</v>
      </c>
      <c r="B78" t="s">
        <v>718</v>
      </c>
      <c r="C78" t="s">
        <v>354</v>
      </c>
      <c r="D78" t="s">
        <v>48</v>
      </c>
      <c r="E78" t="s">
        <v>49</v>
      </c>
      <c r="F78" t="s">
        <v>55</v>
      </c>
      <c r="G78" t="s">
        <v>17</v>
      </c>
      <c r="H78" t="s">
        <v>52</v>
      </c>
      <c r="I78" t="s">
        <v>52</v>
      </c>
      <c r="J78" t="s">
        <v>52</v>
      </c>
      <c r="M78" t="s">
        <v>57</v>
      </c>
      <c r="N78" t="s">
        <v>57</v>
      </c>
      <c r="O78" t="s">
        <v>54</v>
      </c>
    </row>
    <row r="79" spans="1:15" x14ac:dyDescent="0.35">
      <c r="A79" t="s">
        <v>879</v>
      </c>
      <c r="B79" t="s">
        <v>590</v>
      </c>
      <c r="C79" t="s">
        <v>226</v>
      </c>
      <c r="D79" t="s">
        <v>48</v>
      </c>
      <c r="E79" t="s">
        <v>49</v>
      </c>
      <c r="F79" t="s">
        <v>50</v>
      </c>
      <c r="G79" t="s">
        <v>16</v>
      </c>
      <c r="H79" t="s">
        <v>52</v>
      </c>
      <c r="I79" t="s">
        <v>60</v>
      </c>
      <c r="J79" t="s">
        <v>51</v>
      </c>
      <c r="M79" t="s">
        <v>61</v>
      </c>
      <c r="N79" t="s">
        <v>61</v>
      </c>
      <c r="O79" t="s">
        <v>54</v>
      </c>
    </row>
    <row r="80" spans="1:15" x14ac:dyDescent="0.35">
      <c r="A80" t="s">
        <v>867</v>
      </c>
      <c r="B80" t="s">
        <v>747</v>
      </c>
      <c r="C80" t="s">
        <v>383</v>
      </c>
      <c r="D80" t="s">
        <v>48</v>
      </c>
      <c r="E80" t="s">
        <v>49</v>
      </c>
      <c r="F80" t="s">
        <v>50</v>
      </c>
      <c r="G80" t="s">
        <v>9</v>
      </c>
      <c r="H80" t="s">
        <v>52</v>
      </c>
      <c r="I80" t="s">
        <v>60</v>
      </c>
      <c r="J80" t="s">
        <v>51</v>
      </c>
      <c r="K80" t="s">
        <v>51</v>
      </c>
      <c r="M80" t="s">
        <v>63</v>
      </c>
      <c r="N80" t="s">
        <v>63</v>
      </c>
      <c r="O80" t="s">
        <v>54</v>
      </c>
    </row>
    <row r="81" spans="1:15" x14ac:dyDescent="0.35">
      <c r="A81" t="s">
        <v>871</v>
      </c>
      <c r="B81" t="s">
        <v>559</v>
      </c>
      <c r="C81" t="s">
        <v>195</v>
      </c>
      <c r="D81" t="s">
        <v>48</v>
      </c>
      <c r="E81" t="s">
        <v>49</v>
      </c>
      <c r="F81" t="s">
        <v>50</v>
      </c>
      <c r="G81" t="s">
        <v>9</v>
      </c>
      <c r="H81" t="s">
        <v>51</v>
      </c>
      <c r="I81" t="s">
        <v>52</v>
      </c>
      <c r="J81" t="s">
        <v>52</v>
      </c>
      <c r="M81" t="s">
        <v>56</v>
      </c>
      <c r="N81" t="s">
        <v>56</v>
      </c>
      <c r="O81" t="s">
        <v>54</v>
      </c>
    </row>
    <row r="82" spans="1:15" x14ac:dyDescent="0.35">
      <c r="A82" t="s">
        <v>880</v>
      </c>
      <c r="B82" t="s">
        <v>518</v>
      </c>
      <c r="C82" t="s">
        <v>154</v>
      </c>
      <c r="D82" t="s">
        <v>48</v>
      </c>
      <c r="E82" t="s">
        <v>49</v>
      </c>
      <c r="F82" t="s">
        <v>50</v>
      </c>
      <c r="G82" t="s">
        <v>5</v>
      </c>
      <c r="H82" t="s">
        <v>51</v>
      </c>
      <c r="I82" t="s">
        <v>52</v>
      </c>
      <c r="J82" t="s">
        <v>52</v>
      </c>
      <c r="M82" t="s">
        <v>59</v>
      </c>
      <c r="N82" t="s">
        <v>59</v>
      </c>
      <c r="O82" t="s">
        <v>54</v>
      </c>
    </row>
    <row r="83" spans="1:15" hidden="1" x14ac:dyDescent="0.35">
      <c r="A83" t="s">
        <v>835</v>
      </c>
      <c r="B83" t="s">
        <v>807</v>
      </c>
      <c r="C83" t="s">
        <v>443</v>
      </c>
      <c r="D83" t="s">
        <v>48</v>
      </c>
      <c r="E83" t="s">
        <v>49</v>
      </c>
      <c r="F83" t="s">
        <v>55</v>
      </c>
      <c r="G83" t="s">
        <v>26</v>
      </c>
      <c r="H83" t="s">
        <v>52</v>
      </c>
      <c r="I83" t="s">
        <v>52</v>
      </c>
      <c r="J83" t="s">
        <v>51</v>
      </c>
      <c r="K83" t="s">
        <v>51</v>
      </c>
      <c r="L83" t="s">
        <v>91</v>
      </c>
      <c r="M83" t="s">
        <v>63</v>
      </c>
      <c r="N83" t="s">
        <v>63</v>
      </c>
      <c r="O83" t="s">
        <v>54</v>
      </c>
    </row>
    <row r="84" spans="1:15" x14ac:dyDescent="0.35">
      <c r="A84" t="s">
        <v>881</v>
      </c>
      <c r="B84" t="s">
        <v>627</v>
      </c>
      <c r="C84" t="s">
        <v>263</v>
      </c>
      <c r="D84" t="s">
        <v>48</v>
      </c>
      <c r="E84" t="s">
        <v>49</v>
      </c>
      <c r="F84" t="s">
        <v>50</v>
      </c>
      <c r="G84" t="s">
        <v>5</v>
      </c>
      <c r="H84" t="s">
        <v>52</v>
      </c>
      <c r="I84" t="s">
        <v>52</v>
      </c>
      <c r="J84" t="s">
        <v>51</v>
      </c>
      <c r="K84" t="s">
        <v>51</v>
      </c>
      <c r="M84" t="s">
        <v>67</v>
      </c>
      <c r="N84" t="s">
        <v>67</v>
      </c>
      <c r="O84" t="s">
        <v>54</v>
      </c>
    </row>
    <row r="85" spans="1:15" hidden="1" x14ac:dyDescent="0.35">
      <c r="A85" t="s">
        <v>842</v>
      </c>
      <c r="B85" t="s">
        <v>767</v>
      </c>
      <c r="C85" t="s">
        <v>403</v>
      </c>
      <c r="D85" t="s">
        <v>48</v>
      </c>
      <c r="E85" t="s">
        <v>49</v>
      </c>
      <c r="F85" t="s">
        <v>55</v>
      </c>
      <c r="G85" t="s">
        <v>32</v>
      </c>
      <c r="H85" t="s">
        <v>52</v>
      </c>
      <c r="I85" t="s">
        <v>52</v>
      </c>
      <c r="J85" t="s">
        <v>52</v>
      </c>
      <c r="M85" t="s">
        <v>57</v>
      </c>
      <c r="N85" t="s">
        <v>57</v>
      </c>
      <c r="O85" t="s">
        <v>54</v>
      </c>
    </row>
    <row r="86" spans="1:15" x14ac:dyDescent="0.35">
      <c r="A86" t="s">
        <v>882</v>
      </c>
      <c r="B86" t="s">
        <v>692</v>
      </c>
      <c r="C86" t="s">
        <v>328</v>
      </c>
      <c r="D86" t="s">
        <v>48</v>
      </c>
      <c r="E86" t="s">
        <v>49</v>
      </c>
      <c r="F86" t="s">
        <v>50</v>
      </c>
      <c r="G86" t="s">
        <v>7</v>
      </c>
      <c r="H86" t="s">
        <v>52</v>
      </c>
      <c r="I86" t="s">
        <v>52</v>
      </c>
      <c r="J86" t="s">
        <v>52</v>
      </c>
      <c r="M86" t="s">
        <v>56</v>
      </c>
      <c r="N86" t="s">
        <v>56</v>
      </c>
      <c r="O86" t="s">
        <v>54</v>
      </c>
    </row>
    <row r="87" spans="1:15" hidden="1" x14ac:dyDescent="0.35">
      <c r="A87" t="s">
        <v>839</v>
      </c>
      <c r="B87" t="s">
        <v>674</v>
      </c>
      <c r="C87" t="s">
        <v>310</v>
      </c>
      <c r="D87" t="s">
        <v>48</v>
      </c>
      <c r="E87" t="s">
        <v>49</v>
      </c>
      <c r="F87" t="s">
        <v>55</v>
      </c>
      <c r="G87" t="s">
        <v>5</v>
      </c>
      <c r="H87" t="s">
        <v>52</v>
      </c>
      <c r="I87" t="s">
        <v>52</v>
      </c>
      <c r="J87" t="s">
        <v>52</v>
      </c>
      <c r="M87" t="s">
        <v>59</v>
      </c>
      <c r="N87" t="s">
        <v>59</v>
      </c>
      <c r="O87" t="s">
        <v>54</v>
      </c>
    </row>
    <row r="88" spans="1:15" x14ac:dyDescent="0.35">
      <c r="A88" t="s">
        <v>846</v>
      </c>
      <c r="B88" t="s">
        <v>491</v>
      </c>
      <c r="C88" t="s">
        <v>127</v>
      </c>
      <c r="D88" t="s">
        <v>48</v>
      </c>
      <c r="E88" t="s">
        <v>49</v>
      </c>
      <c r="F88" t="s">
        <v>50</v>
      </c>
      <c r="G88" t="s">
        <v>5</v>
      </c>
      <c r="H88" t="s">
        <v>51</v>
      </c>
      <c r="I88" t="s">
        <v>52</v>
      </c>
      <c r="J88" t="s">
        <v>52</v>
      </c>
      <c r="M88" t="s">
        <v>57</v>
      </c>
      <c r="N88" t="s">
        <v>57</v>
      </c>
      <c r="O88" t="s">
        <v>54</v>
      </c>
    </row>
    <row r="89" spans="1:15" x14ac:dyDescent="0.35">
      <c r="A89" t="s">
        <v>883</v>
      </c>
      <c r="B89" t="s">
        <v>610</v>
      </c>
      <c r="C89" t="s">
        <v>246</v>
      </c>
      <c r="D89" t="s">
        <v>48</v>
      </c>
      <c r="E89" t="s">
        <v>49</v>
      </c>
      <c r="F89" t="s">
        <v>50</v>
      </c>
      <c r="G89" t="s">
        <v>5</v>
      </c>
      <c r="H89" t="s">
        <v>52</v>
      </c>
      <c r="I89" t="s">
        <v>52</v>
      </c>
      <c r="J89" t="s">
        <v>51</v>
      </c>
      <c r="K89" t="s">
        <v>51</v>
      </c>
      <c r="M89" t="s">
        <v>66</v>
      </c>
      <c r="N89" t="s">
        <v>66</v>
      </c>
      <c r="O89" t="s">
        <v>54</v>
      </c>
    </row>
    <row r="90" spans="1:15" hidden="1" x14ac:dyDescent="0.35">
      <c r="A90" t="s">
        <v>845</v>
      </c>
      <c r="B90" t="s">
        <v>483</v>
      </c>
      <c r="C90" t="s">
        <v>119</v>
      </c>
      <c r="D90" t="s">
        <v>48</v>
      </c>
      <c r="E90" t="s">
        <v>49</v>
      </c>
      <c r="F90" t="s">
        <v>55</v>
      </c>
      <c r="G90" t="s">
        <v>5</v>
      </c>
      <c r="H90" t="s">
        <v>52</v>
      </c>
      <c r="I90" t="s">
        <v>52</v>
      </c>
      <c r="J90" t="s">
        <v>52</v>
      </c>
      <c r="M90" t="s">
        <v>57</v>
      </c>
      <c r="N90" t="s">
        <v>57</v>
      </c>
      <c r="O90" t="s">
        <v>54</v>
      </c>
    </row>
    <row r="91" spans="1:15" hidden="1" x14ac:dyDescent="0.35">
      <c r="A91" t="s">
        <v>845</v>
      </c>
      <c r="B91" t="s">
        <v>722</v>
      </c>
      <c r="C91" t="s">
        <v>358</v>
      </c>
      <c r="D91" t="s">
        <v>48</v>
      </c>
      <c r="E91" t="s">
        <v>49</v>
      </c>
      <c r="F91" t="s">
        <v>55</v>
      </c>
      <c r="G91" t="s">
        <v>13</v>
      </c>
      <c r="H91" t="s">
        <v>52</v>
      </c>
      <c r="I91" t="s">
        <v>52</v>
      </c>
      <c r="J91" t="s">
        <v>52</v>
      </c>
      <c r="M91" t="s">
        <v>57</v>
      </c>
      <c r="N91" t="s">
        <v>57</v>
      </c>
      <c r="O91" t="s">
        <v>54</v>
      </c>
    </row>
    <row r="92" spans="1:15" x14ac:dyDescent="0.35">
      <c r="A92" t="s">
        <v>884</v>
      </c>
      <c r="B92" t="s">
        <v>570</v>
      </c>
      <c r="C92" t="s">
        <v>206</v>
      </c>
      <c r="D92" t="s">
        <v>48</v>
      </c>
      <c r="E92" t="s">
        <v>49</v>
      </c>
      <c r="F92" t="s">
        <v>50</v>
      </c>
      <c r="G92" t="s">
        <v>26</v>
      </c>
      <c r="H92" t="s">
        <v>52</v>
      </c>
      <c r="I92" t="s">
        <v>64</v>
      </c>
      <c r="J92" t="s">
        <v>51</v>
      </c>
      <c r="K92" t="s">
        <v>51</v>
      </c>
      <c r="M92" t="s">
        <v>77</v>
      </c>
      <c r="N92" t="s">
        <v>77</v>
      </c>
      <c r="O92" t="s">
        <v>54</v>
      </c>
    </row>
    <row r="93" spans="1:15" hidden="1" x14ac:dyDescent="0.35">
      <c r="A93" t="s">
        <v>876</v>
      </c>
      <c r="B93" t="s">
        <v>805</v>
      </c>
      <c r="C93" t="s">
        <v>441</v>
      </c>
      <c r="D93" t="s">
        <v>48</v>
      </c>
      <c r="E93" t="s">
        <v>49</v>
      </c>
      <c r="F93" t="s">
        <v>55</v>
      </c>
      <c r="G93" t="s">
        <v>29</v>
      </c>
      <c r="H93" t="s">
        <v>52</v>
      </c>
      <c r="I93" t="s">
        <v>52</v>
      </c>
      <c r="J93" t="s">
        <v>52</v>
      </c>
      <c r="M93" t="s">
        <v>63</v>
      </c>
      <c r="N93" t="s">
        <v>63</v>
      </c>
      <c r="O93" t="s">
        <v>54</v>
      </c>
    </row>
    <row r="94" spans="1:15" hidden="1" x14ac:dyDescent="0.35">
      <c r="A94" t="s">
        <v>851</v>
      </c>
      <c r="B94" t="s">
        <v>740</v>
      </c>
      <c r="C94" t="s">
        <v>376</v>
      </c>
      <c r="D94" t="s">
        <v>48</v>
      </c>
      <c r="E94" t="s">
        <v>49</v>
      </c>
      <c r="F94" t="s">
        <v>55</v>
      </c>
      <c r="G94" t="s">
        <v>29</v>
      </c>
      <c r="H94" t="s">
        <v>51</v>
      </c>
      <c r="I94" t="s">
        <v>52</v>
      </c>
      <c r="J94" t="s">
        <v>52</v>
      </c>
      <c r="M94" t="s">
        <v>67</v>
      </c>
      <c r="N94" t="s">
        <v>67</v>
      </c>
      <c r="O94" t="s">
        <v>54</v>
      </c>
    </row>
    <row r="95" spans="1:15" hidden="1" x14ac:dyDescent="0.35">
      <c r="A95" t="s">
        <v>876</v>
      </c>
      <c r="B95" t="s">
        <v>633</v>
      </c>
      <c r="C95" t="s">
        <v>269</v>
      </c>
      <c r="D95" t="s">
        <v>48</v>
      </c>
      <c r="E95" t="s">
        <v>49</v>
      </c>
      <c r="F95" t="s">
        <v>55</v>
      </c>
      <c r="G95" t="s">
        <v>26</v>
      </c>
      <c r="H95" t="s">
        <v>52</v>
      </c>
      <c r="I95" t="s">
        <v>52</v>
      </c>
      <c r="J95" t="s">
        <v>52</v>
      </c>
      <c r="M95" t="s">
        <v>63</v>
      </c>
      <c r="N95" t="s">
        <v>63</v>
      </c>
      <c r="O95" t="s">
        <v>54</v>
      </c>
    </row>
    <row r="96" spans="1:15" x14ac:dyDescent="0.35">
      <c r="A96" t="s">
        <v>885</v>
      </c>
      <c r="B96" t="s">
        <v>827</v>
      </c>
      <c r="C96" t="s">
        <v>463</v>
      </c>
      <c r="D96" t="s">
        <v>48</v>
      </c>
      <c r="E96" t="s">
        <v>49</v>
      </c>
      <c r="F96" t="s">
        <v>50</v>
      </c>
      <c r="G96" t="s">
        <v>8</v>
      </c>
      <c r="H96" t="s">
        <v>52</v>
      </c>
      <c r="I96" t="s">
        <v>52</v>
      </c>
      <c r="J96" t="s">
        <v>51</v>
      </c>
      <c r="K96" t="s">
        <v>51</v>
      </c>
      <c r="M96" t="s">
        <v>100</v>
      </c>
      <c r="N96" t="s">
        <v>100</v>
      </c>
      <c r="O96" t="s">
        <v>54</v>
      </c>
    </row>
    <row r="97" spans="1:15" hidden="1" x14ac:dyDescent="0.35">
      <c r="A97" t="s">
        <v>830</v>
      </c>
      <c r="B97" t="s">
        <v>726</v>
      </c>
      <c r="C97" t="s">
        <v>362</v>
      </c>
      <c r="D97" t="s">
        <v>48</v>
      </c>
      <c r="E97" t="s">
        <v>49</v>
      </c>
      <c r="F97" t="s">
        <v>55</v>
      </c>
      <c r="G97" t="s">
        <v>18</v>
      </c>
      <c r="H97" t="s">
        <v>51</v>
      </c>
      <c r="I97" t="s">
        <v>52</v>
      </c>
      <c r="J97" t="s">
        <v>51</v>
      </c>
      <c r="K97" t="s">
        <v>51</v>
      </c>
      <c r="M97" t="s">
        <v>56</v>
      </c>
      <c r="N97" t="s">
        <v>56</v>
      </c>
      <c r="O97" t="s">
        <v>54</v>
      </c>
    </row>
    <row r="98" spans="1:15" x14ac:dyDescent="0.35">
      <c r="A98" t="s">
        <v>886</v>
      </c>
      <c r="B98" t="s">
        <v>744</v>
      </c>
      <c r="C98" t="s">
        <v>380</v>
      </c>
      <c r="D98" t="s">
        <v>48</v>
      </c>
      <c r="E98" t="s">
        <v>49</v>
      </c>
      <c r="F98" t="s">
        <v>50</v>
      </c>
      <c r="G98" t="s">
        <v>17</v>
      </c>
      <c r="H98" t="s">
        <v>52</v>
      </c>
      <c r="I98" t="s">
        <v>60</v>
      </c>
      <c r="J98" t="s">
        <v>52</v>
      </c>
      <c r="M98" t="s">
        <v>71</v>
      </c>
      <c r="N98" t="s">
        <v>71</v>
      </c>
      <c r="O98" t="s">
        <v>54</v>
      </c>
    </row>
    <row r="99" spans="1:15" x14ac:dyDescent="0.35">
      <c r="A99" t="s">
        <v>846</v>
      </c>
      <c r="B99" t="s">
        <v>569</v>
      </c>
      <c r="C99" t="s">
        <v>205</v>
      </c>
      <c r="D99" t="s">
        <v>48</v>
      </c>
      <c r="E99" t="s">
        <v>49</v>
      </c>
      <c r="F99" t="s">
        <v>50</v>
      </c>
      <c r="G99" t="s">
        <v>9</v>
      </c>
      <c r="H99" t="s">
        <v>52</v>
      </c>
      <c r="I99" t="s">
        <v>52</v>
      </c>
      <c r="J99" t="s">
        <v>52</v>
      </c>
      <c r="M99" t="s">
        <v>57</v>
      </c>
      <c r="N99" t="s">
        <v>57</v>
      </c>
      <c r="O99" t="s">
        <v>54</v>
      </c>
    </row>
    <row r="100" spans="1:15" hidden="1" x14ac:dyDescent="0.35">
      <c r="A100" t="s">
        <v>887</v>
      </c>
      <c r="B100" t="s">
        <v>510</v>
      </c>
      <c r="C100" t="s">
        <v>146</v>
      </c>
      <c r="D100" t="s">
        <v>48</v>
      </c>
      <c r="E100" t="s">
        <v>49</v>
      </c>
      <c r="F100" t="s">
        <v>55</v>
      </c>
      <c r="G100" t="s">
        <v>5</v>
      </c>
      <c r="H100" t="s">
        <v>52</v>
      </c>
      <c r="I100" t="s">
        <v>52</v>
      </c>
      <c r="J100" t="s">
        <v>52</v>
      </c>
      <c r="M100" t="s">
        <v>69</v>
      </c>
      <c r="N100" t="s">
        <v>69</v>
      </c>
      <c r="O100" t="s">
        <v>54</v>
      </c>
    </row>
    <row r="101" spans="1:15" x14ac:dyDescent="0.35">
      <c r="A101" t="s">
        <v>888</v>
      </c>
      <c r="B101" t="s">
        <v>465</v>
      </c>
      <c r="C101" t="s">
        <v>101</v>
      </c>
      <c r="D101" t="s">
        <v>48</v>
      </c>
      <c r="E101" t="s">
        <v>49</v>
      </c>
      <c r="F101" t="s">
        <v>50</v>
      </c>
      <c r="G101" t="s">
        <v>9</v>
      </c>
      <c r="H101" t="s">
        <v>51</v>
      </c>
      <c r="I101" t="s">
        <v>52</v>
      </c>
      <c r="J101" t="s">
        <v>51</v>
      </c>
      <c r="K101" t="s">
        <v>51</v>
      </c>
      <c r="M101" t="s">
        <v>53</v>
      </c>
      <c r="N101" t="s">
        <v>53</v>
      </c>
      <c r="O101" t="s">
        <v>54</v>
      </c>
    </row>
    <row r="102" spans="1:15" x14ac:dyDescent="0.35">
      <c r="A102" t="s">
        <v>850</v>
      </c>
      <c r="B102" t="s">
        <v>563</v>
      </c>
      <c r="C102" t="s">
        <v>199</v>
      </c>
      <c r="D102" t="s">
        <v>48</v>
      </c>
      <c r="E102" t="s">
        <v>49</v>
      </c>
      <c r="F102" t="s">
        <v>50</v>
      </c>
      <c r="G102" t="s">
        <v>19</v>
      </c>
      <c r="H102" t="s">
        <v>52</v>
      </c>
      <c r="I102" t="s">
        <v>52</v>
      </c>
      <c r="J102" t="s">
        <v>52</v>
      </c>
      <c r="M102" t="s">
        <v>57</v>
      </c>
      <c r="N102" t="s">
        <v>57</v>
      </c>
      <c r="O102" t="s">
        <v>54</v>
      </c>
    </row>
    <row r="103" spans="1:15" hidden="1" x14ac:dyDescent="0.35">
      <c r="A103" t="s">
        <v>889</v>
      </c>
      <c r="B103" t="s">
        <v>611</v>
      </c>
      <c r="C103" t="s">
        <v>247</v>
      </c>
      <c r="D103" t="s">
        <v>48</v>
      </c>
      <c r="E103" t="s">
        <v>49</v>
      </c>
      <c r="F103" t="s">
        <v>55</v>
      </c>
      <c r="G103" t="s">
        <v>5</v>
      </c>
      <c r="H103" t="s">
        <v>52</v>
      </c>
      <c r="I103" t="s">
        <v>52</v>
      </c>
      <c r="J103" t="s">
        <v>52</v>
      </c>
      <c r="M103" t="s">
        <v>59</v>
      </c>
      <c r="N103" t="s">
        <v>59</v>
      </c>
      <c r="O103" t="s">
        <v>54</v>
      </c>
    </row>
    <row r="104" spans="1:15" x14ac:dyDescent="0.35">
      <c r="A104" t="s">
        <v>883</v>
      </c>
      <c r="B104" t="s">
        <v>534</v>
      </c>
      <c r="C104" t="s">
        <v>170</v>
      </c>
      <c r="D104" t="s">
        <v>48</v>
      </c>
      <c r="E104" t="s">
        <v>49</v>
      </c>
      <c r="F104" t="s">
        <v>50</v>
      </c>
      <c r="G104" t="s">
        <v>32</v>
      </c>
      <c r="H104" t="s">
        <v>51</v>
      </c>
      <c r="I104" t="s">
        <v>52</v>
      </c>
      <c r="J104" t="s">
        <v>52</v>
      </c>
      <c r="M104" t="s">
        <v>66</v>
      </c>
      <c r="N104" t="s">
        <v>66</v>
      </c>
      <c r="O104" t="s">
        <v>54</v>
      </c>
    </row>
    <row r="105" spans="1:15" x14ac:dyDescent="0.35">
      <c r="A105" t="s">
        <v>890</v>
      </c>
      <c r="B105" t="s">
        <v>624</v>
      </c>
      <c r="C105" t="s">
        <v>260</v>
      </c>
      <c r="D105" t="s">
        <v>48</v>
      </c>
      <c r="E105" t="s">
        <v>49</v>
      </c>
      <c r="F105" t="s">
        <v>50</v>
      </c>
      <c r="G105" t="s">
        <v>5</v>
      </c>
      <c r="H105" t="s">
        <v>51</v>
      </c>
      <c r="I105" t="s">
        <v>52</v>
      </c>
      <c r="J105" t="s">
        <v>52</v>
      </c>
      <c r="K105" t="s">
        <v>51</v>
      </c>
      <c r="M105" t="s">
        <v>86</v>
      </c>
      <c r="N105" t="s">
        <v>86</v>
      </c>
    </row>
    <row r="106" spans="1:15" hidden="1" x14ac:dyDescent="0.35">
      <c r="A106" t="s">
        <v>831</v>
      </c>
      <c r="B106" t="s">
        <v>783</v>
      </c>
      <c r="C106" t="s">
        <v>419</v>
      </c>
      <c r="D106" t="s">
        <v>48</v>
      </c>
      <c r="E106" t="s">
        <v>49</v>
      </c>
      <c r="F106" t="s">
        <v>55</v>
      </c>
      <c r="G106" t="s">
        <v>9</v>
      </c>
      <c r="H106" t="s">
        <v>52</v>
      </c>
      <c r="I106" t="s">
        <v>52</v>
      </c>
      <c r="J106" t="s">
        <v>52</v>
      </c>
      <c r="M106" t="s">
        <v>59</v>
      </c>
      <c r="N106" t="s">
        <v>59</v>
      </c>
      <c r="O106" t="s">
        <v>54</v>
      </c>
    </row>
    <row r="107" spans="1:15" hidden="1" x14ac:dyDescent="0.35">
      <c r="A107" t="s">
        <v>842</v>
      </c>
      <c r="B107" t="s">
        <v>576</v>
      </c>
      <c r="C107" t="s">
        <v>212</v>
      </c>
      <c r="D107" t="s">
        <v>48</v>
      </c>
      <c r="E107" t="s">
        <v>49</v>
      </c>
      <c r="F107" t="s">
        <v>55</v>
      </c>
      <c r="G107" t="s">
        <v>5</v>
      </c>
      <c r="H107" t="s">
        <v>52</v>
      </c>
      <c r="I107" t="s">
        <v>52</v>
      </c>
      <c r="J107" t="s">
        <v>52</v>
      </c>
      <c r="M107" t="s">
        <v>57</v>
      </c>
      <c r="N107" t="s">
        <v>57</v>
      </c>
      <c r="O107" t="s">
        <v>54</v>
      </c>
    </row>
    <row r="108" spans="1:15" x14ac:dyDescent="0.35">
      <c r="A108" t="s">
        <v>880</v>
      </c>
      <c r="B108" t="s">
        <v>493</v>
      </c>
      <c r="C108" t="s">
        <v>129</v>
      </c>
      <c r="D108" t="s">
        <v>48</v>
      </c>
      <c r="E108" t="s">
        <v>49</v>
      </c>
      <c r="F108" t="s">
        <v>50</v>
      </c>
      <c r="G108" t="s">
        <v>25</v>
      </c>
      <c r="H108" t="s">
        <v>52</v>
      </c>
      <c r="I108" t="s">
        <v>52</v>
      </c>
      <c r="J108" t="s">
        <v>52</v>
      </c>
      <c r="M108" t="s">
        <v>59</v>
      </c>
      <c r="N108" t="s">
        <v>59</v>
      </c>
      <c r="O108" t="s">
        <v>54</v>
      </c>
    </row>
    <row r="109" spans="1:15" hidden="1" x14ac:dyDescent="0.35">
      <c r="A109" t="s">
        <v>891</v>
      </c>
      <c r="B109" t="s">
        <v>785</v>
      </c>
      <c r="C109" t="s">
        <v>421</v>
      </c>
      <c r="D109" t="s">
        <v>48</v>
      </c>
      <c r="E109" t="s">
        <v>49</v>
      </c>
      <c r="F109" t="s">
        <v>55</v>
      </c>
      <c r="G109" t="s">
        <v>13</v>
      </c>
      <c r="H109" t="s">
        <v>52</v>
      </c>
      <c r="I109" t="s">
        <v>52</v>
      </c>
      <c r="J109" t="s">
        <v>52</v>
      </c>
      <c r="M109" t="s">
        <v>63</v>
      </c>
      <c r="N109" t="s">
        <v>63</v>
      </c>
      <c r="O109" t="s">
        <v>54</v>
      </c>
    </row>
    <row r="110" spans="1:15" x14ac:dyDescent="0.35">
      <c r="A110" t="s">
        <v>841</v>
      </c>
      <c r="B110" t="s">
        <v>728</v>
      </c>
      <c r="C110" t="s">
        <v>364</v>
      </c>
      <c r="D110" t="s">
        <v>48</v>
      </c>
      <c r="E110" t="s">
        <v>49</v>
      </c>
      <c r="F110" t="s">
        <v>50</v>
      </c>
      <c r="G110" t="s">
        <v>15</v>
      </c>
      <c r="H110" t="s">
        <v>52</v>
      </c>
      <c r="I110" t="s">
        <v>52</v>
      </c>
      <c r="J110" t="s">
        <v>52</v>
      </c>
      <c r="M110" t="s">
        <v>57</v>
      </c>
      <c r="N110" t="s">
        <v>57</v>
      </c>
      <c r="O110" t="s">
        <v>54</v>
      </c>
    </row>
    <row r="111" spans="1:15" hidden="1" x14ac:dyDescent="0.35">
      <c r="A111" t="s">
        <v>892</v>
      </c>
      <c r="B111" t="s">
        <v>512</v>
      </c>
      <c r="C111" t="s">
        <v>148</v>
      </c>
      <c r="D111" t="s">
        <v>48</v>
      </c>
      <c r="E111" t="s">
        <v>49</v>
      </c>
      <c r="F111" t="s">
        <v>55</v>
      </c>
      <c r="G111" t="s">
        <v>5</v>
      </c>
      <c r="H111" t="s">
        <v>51</v>
      </c>
      <c r="I111" t="s">
        <v>52</v>
      </c>
      <c r="J111" t="s">
        <v>51</v>
      </c>
      <c r="K111" t="s">
        <v>51</v>
      </c>
      <c r="M111" t="s">
        <v>56</v>
      </c>
      <c r="N111" t="s">
        <v>56</v>
      </c>
      <c r="O111" t="s">
        <v>54</v>
      </c>
    </row>
    <row r="112" spans="1:15" hidden="1" x14ac:dyDescent="0.35">
      <c r="A112" t="s">
        <v>849</v>
      </c>
      <c r="B112" t="s">
        <v>757</v>
      </c>
      <c r="C112" t="s">
        <v>393</v>
      </c>
      <c r="D112" t="s">
        <v>48</v>
      </c>
      <c r="E112" t="s">
        <v>49</v>
      </c>
      <c r="F112" t="s">
        <v>55</v>
      </c>
      <c r="G112" t="s">
        <v>9</v>
      </c>
      <c r="H112" t="s">
        <v>52</v>
      </c>
      <c r="I112" t="s">
        <v>60</v>
      </c>
      <c r="J112" t="s">
        <v>51</v>
      </c>
      <c r="M112" t="s">
        <v>59</v>
      </c>
      <c r="N112" t="s">
        <v>59</v>
      </c>
      <c r="O112" t="s">
        <v>54</v>
      </c>
    </row>
    <row r="113" spans="1:15" hidden="1" x14ac:dyDescent="0.35">
      <c r="A113" t="s">
        <v>893</v>
      </c>
      <c r="B113" t="s">
        <v>806</v>
      </c>
      <c r="C113" t="s">
        <v>442</v>
      </c>
      <c r="D113" t="s">
        <v>48</v>
      </c>
      <c r="E113" t="s">
        <v>49</v>
      </c>
      <c r="F113" t="s">
        <v>55</v>
      </c>
      <c r="G113" t="s">
        <v>7</v>
      </c>
      <c r="H113" t="s">
        <v>52</v>
      </c>
      <c r="I113" t="s">
        <v>52</v>
      </c>
      <c r="J113" t="s">
        <v>52</v>
      </c>
      <c r="M113" t="s">
        <v>67</v>
      </c>
      <c r="N113" t="s">
        <v>67</v>
      </c>
      <c r="O113" t="s">
        <v>54</v>
      </c>
    </row>
    <row r="114" spans="1:15" hidden="1" x14ac:dyDescent="0.35">
      <c r="A114" t="s">
        <v>894</v>
      </c>
      <c r="B114" t="s">
        <v>582</v>
      </c>
      <c r="C114" t="s">
        <v>218</v>
      </c>
      <c r="D114" t="s">
        <v>48</v>
      </c>
      <c r="E114" t="s">
        <v>49</v>
      </c>
      <c r="F114" t="s">
        <v>55</v>
      </c>
      <c r="G114" t="s">
        <v>26</v>
      </c>
      <c r="H114" t="s">
        <v>51</v>
      </c>
      <c r="I114" t="s">
        <v>52</v>
      </c>
      <c r="J114" t="s">
        <v>51</v>
      </c>
      <c r="K114" t="s">
        <v>51</v>
      </c>
      <c r="M114" t="s">
        <v>79</v>
      </c>
      <c r="N114" t="s">
        <v>79</v>
      </c>
      <c r="O114" t="s">
        <v>54</v>
      </c>
    </row>
    <row r="115" spans="1:15" hidden="1" x14ac:dyDescent="0.35">
      <c r="A115" t="s">
        <v>842</v>
      </c>
      <c r="B115" t="s">
        <v>526</v>
      </c>
      <c r="C115" t="s">
        <v>162</v>
      </c>
      <c r="D115" t="s">
        <v>48</v>
      </c>
      <c r="E115" t="s">
        <v>49</v>
      </c>
      <c r="F115" t="s">
        <v>55</v>
      </c>
      <c r="G115" t="s">
        <v>9</v>
      </c>
      <c r="H115" t="s">
        <v>52</v>
      </c>
      <c r="I115" t="s">
        <v>52</v>
      </c>
      <c r="J115" t="s">
        <v>52</v>
      </c>
      <c r="M115" t="s">
        <v>57</v>
      </c>
      <c r="N115" t="s">
        <v>57</v>
      </c>
      <c r="O115" t="s">
        <v>54</v>
      </c>
    </row>
    <row r="116" spans="1:15" hidden="1" x14ac:dyDescent="0.35">
      <c r="A116" t="s">
        <v>876</v>
      </c>
      <c r="B116" t="s">
        <v>589</v>
      </c>
      <c r="C116" t="s">
        <v>225</v>
      </c>
      <c r="D116" t="s">
        <v>48</v>
      </c>
      <c r="E116" t="s">
        <v>49</v>
      </c>
      <c r="F116" t="s">
        <v>55</v>
      </c>
      <c r="G116" t="s">
        <v>9</v>
      </c>
      <c r="H116" t="s">
        <v>52</v>
      </c>
      <c r="I116" t="s">
        <v>60</v>
      </c>
      <c r="J116" t="s">
        <v>52</v>
      </c>
      <c r="M116" t="s">
        <v>63</v>
      </c>
      <c r="N116" t="s">
        <v>63</v>
      </c>
      <c r="O116" t="s">
        <v>54</v>
      </c>
    </row>
    <row r="117" spans="1:15" x14ac:dyDescent="0.35">
      <c r="A117" t="s">
        <v>856</v>
      </c>
      <c r="B117" t="s">
        <v>479</v>
      </c>
      <c r="C117" t="s">
        <v>115</v>
      </c>
      <c r="D117" t="s">
        <v>48</v>
      </c>
      <c r="E117" t="s">
        <v>49</v>
      </c>
      <c r="F117" t="s">
        <v>50</v>
      </c>
      <c r="G117" t="s">
        <v>9</v>
      </c>
      <c r="H117" t="s">
        <v>52</v>
      </c>
      <c r="I117" t="s">
        <v>52</v>
      </c>
      <c r="J117" t="s">
        <v>52</v>
      </c>
      <c r="M117" t="s">
        <v>61</v>
      </c>
      <c r="N117" t="s">
        <v>61</v>
      </c>
      <c r="O117" t="s">
        <v>54</v>
      </c>
    </row>
    <row r="118" spans="1:15" x14ac:dyDescent="0.35">
      <c r="A118" t="s">
        <v>875</v>
      </c>
      <c r="B118" t="s">
        <v>716</v>
      </c>
      <c r="C118" t="s">
        <v>352</v>
      </c>
      <c r="D118" t="s">
        <v>48</v>
      </c>
      <c r="E118" t="s">
        <v>49</v>
      </c>
      <c r="F118" t="s">
        <v>50</v>
      </c>
      <c r="G118" t="s">
        <v>26</v>
      </c>
      <c r="H118" t="s">
        <v>52</v>
      </c>
      <c r="I118" t="s">
        <v>60</v>
      </c>
      <c r="J118" t="s">
        <v>52</v>
      </c>
      <c r="M118" t="s">
        <v>67</v>
      </c>
      <c r="N118" t="s">
        <v>67</v>
      </c>
      <c r="O118" t="s">
        <v>54</v>
      </c>
    </row>
    <row r="119" spans="1:15" hidden="1" x14ac:dyDescent="0.35">
      <c r="A119" t="s">
        <v>860</v>
      </c>
      <c r="B119" t="s">
        <v>774</v>
      </c>
      <c r="C119" t="s">
        <v>410</v>
      </c>
      <c r="D119" t="s">
        <v>48</v>
      </c>
      <c r="E119" t="s">
        <v>49</v>
      </c>
      <c r="F119" t="s">
        <v>55</v>
      </c>
      <c r="G119" t="s">
        <v>9</v>
      </c>
      <c r="H119" t="s">
        <v>52</v>
      </c>
      <c r="I119" t="s">
        <v>52</v>
      </c>
      <c r="J119" t="s">
        <v>51</v>
      </c>
      <c r="K119" t="s">
        <v>51</v>
      </c>
      <c r="L119" t="s">
        <v>91</v>
      </c>
      <c r="M119" t="s">
        <v>63</v>
      </c>
      <c r="N119" t="s">
        <v>63</v>
      </c>
      <c r="O119" t="s">
        <v>54</v>
      </c>
    </row>
    <row r="120" spans="1:15" x14ac:dyDescent="0.35">
      <c r="A120" t="s">
        <v>877</v>
      </c>
      <c r="B120" t="s">
        <v>615</v>
      </c>
      <c r="C120" t="s">
        <v>251</v>
      </c>
      <c r="D120" t="s">
        <v>48</v>
      </c>
      <c r="E120" t="s">
        <v>49</v>
      </c>
      <c r="F120" t="s">
        <v>50</v>
      </c>
      <c r="G120" t="s">
        <v>0</v>
      </c>
      <c r="H120" t="s">
        <v>52</v>
      </c>
      <c r="I120" t="s">
        <v>52</v>
      </c>
      <c r="J120" t="s">
        <v>52</v>
      </c>
      <c r="M120" t="s">
        <v>63</v>
      </c>
      <c r="N120" t="s">
        <v>63</v>
      </c>
      <c r="O120" t="s">
        <v>54</v>
      </c>
    </row>
    <row r="121" spans="1:15" x14ac:dyDescent="0.35">
      <c r="A121" t="s">
        <v>861</v>
      </c>
      <c r="B121" t="s">
        <v>771</v>
      </c>
      <c r="C121" t="s">
        <v>407</v>
      </c>
      <c r="D121" t="s">
        <v>48</v>
      </c>
      <c r="E121" t="s">
        <v>49</v>
      </c>
      <c r="F121" t="s">
        <v>50</v>
      </c>
      <c r="G121" t="s">
        <v>18</v>
      </c>
      <c r="H121" t="s">
        <v>52</v>
      </c>
      <c r="I121" t="s">
        <v>52</v>
      </c>
      <c r="J121" t="s">
        <v>52</v>
      </c>
      <c r="M121" t="s">
        <v>59</v>
      </c>
      <c r="N121" t="s">
        <v>59</v>
      </c>
      <c r="O121" t="s">
        <v>54</v>
      </c>
    </row>
    <row r="122" spans="1:15" hidden="1" x14ac:dyDescent="0.35">
      <c r="A122" t="s">
        <v>887</v>
      </c>
      <c r="B122" t="s">
        <v>739</v>
      </c>
      <c r="C122" t="s">
        <v>375</v>
      </c>
      <c r="D122" t="s">
        <v>48</v>
      </c>
      <c r="E122" t="s">
        <v>49</v>
      </c>
      <c r="F122" t="s">
        <v>55</v>
      </c>
      <c r="G122" t="s">
        <v>9</v>
      </c>
      <c r="H122" t="s">
        <v>52</v>
      </c>
      <c r="I122" t="s">
        <v>52</v>
      </c>
      <c r="J122" t="s">
        <v>52</v>
      </c>
      <c r="M122" t="s">
        <v>69</v>
      </c>
      <c r="N122" t="s">
        <v>69</v>
      </c>
      <c r="O122" t="s">
        <v>54</v>
      </c>
    </row>
    <row r="123" spans="1:15" hidden="1" x14ac:dyDescent="0.35">
      <c r="A123" t="s">
        <v>892</v>
      </c>
      <c r="B123" t="s">
        <v>579</v>
      </c>
      <c r="C123" t="s">
        <v>215</v>
      </c>
      <c r="D123" t="s">
        <v>48</v>
      </c>
      <c r="E123" t="s">
        <v>49</v>
      </c>
      <c r="F123" t="s">
        <v>55</v>
      </c>
      <c r="G123" t="s">
        <v>26</v>
      </c>
      <c r="H123" t="s">
        <v>52</v>
      </c>
      <c r="I123" t="s">
        <v>52</v>
      </c>
      <c r="J123" t="s">
        <v>52</v>
      </c>
      <c r="M123" t="s">
        <v>56</v>
      </c>
      <c r="N123" t="s">
        <v>56</v>
      </c>
      <c r="O123" t="s">
        <v>54</v>
      </c>
    </row>
    <row r="124" spans="1:15" hidden="1" x14ac:dyDescent="0.35">
      <c r="A124" t="s">
        <v>895</v>
      </c>
      <c r="B124" t="s">
        <v>803</v>
      </c>
      <c r="C124" t="s">
        <v>439</v>
      </c>
      <c r="D124" t="s">
        <v>48</v>
      </c>
      <c r="E124" t="s">
        <v>49</v>
      </c>
      <c r="F124" t="s">
        <v>55</v>
      </c>
      <c r="G124" t="s">
        <v>17</v>
      </c>
      <c r="H124" t="s">
        <v>52</v>
      </c>
      <c r="I124" t="s">
        <v>52</v>
      </c>
      <c r="J124" t="s">
        <v>52</v>
      </c>
      <c r="M124" t="s">
        <v>82</v>
      </c>
      <c r="N124" t="s">
        <v>82</v>
      </c>
      <c r="O124" t="s">
        <v>54</v>
      </c>
    </row>
    <row r="125" spans="1:15" hidden="1" x14ac:dyDescent="0.35">
      <c r="A125" t="s">
        <v>896</v>
      </c>
      <c r="B125" t="s">
        <v>556</v>
      </c>
      <c r="C125" t="s">
        <v>192</v>
      </c>
      <c r="D125" t="s">
        <v>48</v>
      </c>
      <c r="E125" t="s">
        <v>49</v>
      </c>
      <c r="F125" t="s">
        <v>55</v>
      </c>
      <c r="G125" t="s">
        <v>9</v>
      </c>
      <c r="H125" t="s">
        <v>52</v>
      </c>
      <c r="I125" t="s">
        <v>52</v>
      </c>
      <c r="J125" t="s">
        <v>52</v>
      </c>
      <c r="M125" t="s">
        <v>69</v>
      </c>
      <c r="N125" t="s">
        <v>69</v>
      </c>
      <c r="O125" t="s">
        <v>54</v>
      </c>
    </row>
    <row r="126" spans="1:15" hidden="1" x14ac:dyDescent="0.35">
      <c r="A126" t="s">
        <v>897</v>
      </c>
      <c r="B126" t="s">
        <v>564</v>
      </c>
      <c r="C126" t="s">
        <v>200</v>
      </c>
      <c r="D126" t="s">
        <v>48</v>
      </c>
      <c r="E126" t="s">
        <v>49</v>
      </c>
      <c r="F126" t="s">
        <v>55</v>
      </c>
      <c r="G126" t="s">
        <v>13</v>
      </c>
      <c r="H126" t="s">
        <v>51</v>
      </c>
      <c r="I126" t="s">
        <v>52</v>
      </c>
      <c r="J126" t="s">
        <v>51</v>
      </c>
      <c r="M126" t="s">
        <v>69</v>
      </c>
      <c r="N126" t="s">
        <v>69</v>
      </c>
      <c r="O126" t="s">
        <v>54</v>
      </c>
    </row>
    <row r="127" spans="1:15" hidden="1" x14ac:dyDescent="0.35">
      <c r="A127" t="s">
        <v>898</v>
      </c>
      <c r="B127" t="s">
        <v>795</v>
      </c>
      <c r="C127" t="s">
        <v>431</v>
      </c>
      <c r="D127" t="s">
        <v>48</v>
      </c>
      <c r="E127" t="s">
        <v>49</v>
      </c>
      <c r="F127" t="s">
        <v>55</v>
      </c>
      <c r="G127" t="s">
        <v>8</v>
      </c>
      <c r="H127" t="s">
        <v>51</v>
      </c>
      <c r="I127" t="s">
        <v>52</v>
      </c>
      <c r="J127" t="s">
        <v>52</v>
      </c>
      <c r="M127" t="s">
        <v>61</v>
      </c>
      <c r="N127" t="s">
        <v>61</v>
      </c>
      <c r="O127" t="s">
        <v>54</v>
      </c>
    </row>
    <row r="128" spans="1:15" hidden="1" x14ac:dyDescent="0.35">
      <c r="A128" t="s">
        <v>876</v>
      </c>
      <c r="B128" t="s">
        <v>797</v>
      </c>
      <c r="C128" t="s">
        <v>433</v>
      </c>
      <c r="D128" t="s">
        <v>48</v>
      </c>
      <c r="E128" t="s">
        <v>49</v>
      </c>
      <c r="F128" t="s">
        <v>55</v>
      </c>
      <c r="G128" t="s">
        <v>26</v>
      </c>
      <c r="H128" t="s">
        <v>52</v>
      </c>
      <c r="I128" t="s">
        <v>52</v>
      </c>
      <c r="J128" t="s">
        <v>51</v>
      </c>
      <c r="L128" t="s">
        <v>68</v>
      </c>
      <c r="M128" t="s">
        <v>63</v>
      </c>
      <c r="N128" t="s">
        <v>63</v>
      </c>
      <c r="O128" t="s">
        <v>54</v>
      </c>
    </row>
    <row r="129" spans="1:15" hidden="1" x14ac:dyDescent="0.35">
      <c r="A129" t="s">
        <v>831</v>
      </c>
      <c r="B129" t="s">
        <v>756</v>
      </c>
      <c r="C129" t="s">
        <v>392</v>
      </c>
      <c r="D129" t="s">
        <v>48</v>
      </c>
      <c r="E129" t="s">
        <v>49</v>
      </c>
      <c r="F129" t="s">
        <v>55</v>
      </c>
      <c r="G129" t="s">
        <v>28</v>
      </c>
      <c r="H129" t="s">
        <v>51</v>
      </c>
      <c r="I129" t="s">
        <v>52</v>
      </c>
      <c r="J129" t="s">
        <v>51</v>
      </c>
      <c r="K129" t="s">
        <v>51</v>
      </c>
      <c r="M129" t="s">
        <v>59</v>
      </c>
      <c r="N129" t="s">
        <v>59</v>
      </c>
      <c r="O129" t="s">
        <v>54</v>
      </c>
    </row>
    <row r="130" spans="1:15" x14ac:dyDescent="0.35">
      <c r="A130" t="s">
        <v>846</v>
      </c>
      <c r="B130" t="s">
        <v>663</v>
      </c>
      <c r="C130" t="s">
        <v>299</v>
      </c>
      <c r="D130" t="s">
        <v>48</v>
      </c>
      <c r="E130" t="s">
        <v>49</v>
      </c>
      <c r="F130" t="s">
        <v>50</v>
      </c>
      <c r="G130" t="s">
        <v>7</v>
      </c>
      <c r="H130" t="s">
        <v>52</v>
      </c>
      <c r="I130" t="s">
        <v>52</v>
      </c>
      <c r="J130" t="s">
        <v>52</v>
      </c>
      <c r="M130" t="s">
        <v>57</v>
      </c>
      <c r="N130" t="s">
        <v>57</v>
      </c>
      <c r="O130" t="s">
        <v>54</v>
      </c>
    </row>
    <row r="131" spans="1:15" x14ac:dyDescent="0.35">
      <c r="A131" t="s">
        <v>861</v>
      </c>
      <c r="B131" t="s">
        <v>489</v>
      </c>
      <c r="C131" t="s">
        <v>125</v>
      </c>
      <c r="D131" t="s">
        <v>48</v>
      </c>
      <c r="E131" t="s">
        <v>49</v>
      </c>
      <c r="F131" t="s">
        <v>50</v>
      </c>
      <c r="G131" t="s">
        <v>2</v>
      </c>
      <c r="H131" t="s">
        <v>52</v>
      </c>
      <c r="I131" t="s">
        <v>52</v>
      </c>
      <c r="J131" t="s">
        <v>52</v>
      </c>
      <c r="M131" t="s">
        <v>59</v>
      </c>
      <c r="N131" t="s">
        <v>59</v>
      </c>
      <c r="O131" t="s">
        <v>54</v>
      </c>
    </row>
    <row r="132" spans="1:15" x14ac:dyDescent="0.35">
      <c r="A132" t="s">
        <v>870</v>
      </c>
      <c r="B132" t="s">
        <v>762</v>
      </c>
      <c r="C132" t="s">
        <v>398</v>
      </c>
      <c r="D132" t="s">
        <v>48</v>
      </c>
      <c r="E132" t="s">
        <v>49</v>
      </c>
      <c r="F132" t="s">
        <v>50</v>
      </c>
      <c r="G132" t="s">
        <v>19</v>
      </c>
      <c r="H132" t="s">
        <v>52</v>
      </c>
      <c r="I132" t="s">
        <v>60</v>
      </c>
      <c r="J132" t="s">
        <v>51</v>
      </c>
      <c r="K132" t="s">
        <v>58</v>
      </c>
      <c r="M132" t="s">
        <v>67</v>
      </c>
      <c r="N132" t="s">
        <v>67</v>
      </c>
      <c r="O132" t="s">
        <v>54</v>
      </c>
    </row>
    <row r="133" spans="1:15" x14ac:dyDescent="0.35">
      <c r="A133" t="s">
        <v>875</v>
      </c>
      <c r="B133" t="s">
        <v>681</v>
      </c>
      <c r="C133" t="s">
        <v>317</v>
      </c>
      <c r="D133" t="s">
        <v>48</v>
      </c>
      <c r="E133" t="s">
        <v>49</v>
      </c>
      <c r="F133" t="s">
        <v>50</v>
      </c>
      <c r="G133" t="s">
        <v>5</v>
      </c>
      <c r="H133" t="s">
        <v>52</v>
      </c>
      <c r="I133" t="s">
        <v>52</v>
      </c>
      <c r="J133" t="s">
        <v>52</v>
      </c>
      <c r="M133" t="s">
        <v>67</v>
      </c>
      <c r="N133" t="s">
        <v>67</v>
      </c>
      <c r="O133" t="s">
        <v>54</v>
      </c>
    </row>
    <row r="134" spans="1:15" x14ac:dyDescent="0.35">
      <c r="A134" t="s">
        <v>899</v>
      </c>
      <c r="B134" t="s">
        <v>808</v>
      </c>
      <c r="C134" t="s">
        <v>444</v>
      </c>
      <c r="D134" t="s">
        <v>48</v>
      </c>
      <c r="E134" t="s">
        <v>49</v>
      </c>
      <c r="F134" t="s">
        <v>50</v>
      </c>
      <c r="G134" t="s">
        <v>18</v>
      </c>
      <c r="H134" t="s">
        <v>52</v>
      </c>
      <c r="I134" t="s">
        <v>60</v>
      </c>
      <c r="J134" t="s">
        <v>51</v>
      </c>
      <c r="M134" t="s">
        <v>96</v>
      </c>
      <c r="N134" t="s">
        <v>96</v>
      </c>
      <c r="O134" t="s">
        <v>54</v>
      </c>
    </row>
    <row r="135" spans="1:15" x14ac:dyDescent="0.35">
      <c r="A135" t="s">
        <v>900</v>
      </c>
      <c r="B135" t="s">
        <v>770</v>
      </c>
      <c r="C135" t="s">
        <v>406</v>
      </c>
      <c r="D135" t="s">
        <v>48</v>
      </c>
      <c r="E135" t="s">
        <v>49</v>
      </c>
      <c r="F135" t="s">
        <v>50</v>
      </c>
      <c r="G135" t="s">
        <v>5</v>
      </c>
      <c r="H135" t="s">
        <v>52</v>
      </c>
      <c r="I135" t="s">
        <v>60</v>
      </c>
      <c r="J135" t="s">
        <v>52</v>
      </c>
      <c r="M135" t="s">
        <v>69</v>
      </c>
      <c r="N135" t="s">
        <v>69</v>
      </c>
      <c r="O135" t="s">
        <v>54</v>
      </c>
    </row>
    <row r="136" spans="1:15" hidden="1" x14ac:dyDescent="0.35">
      <c r="A136" t="s">
        <v>833</v>
      </c>
      <c r="B136" t="s">
        <v>496</v>
      </c>
      <c r="C136" t="s">
        <v>132</v>
      </c>
      <c r="D136" t="s">
        <v>48</v>
      </c>
      <c r="E136" t="s">
        <v>49</v>
      </c>
      <c r="F136" t="s">
        <v>55</v>
      </c>
      <c r="G136" t="s">
        <v>9</v>
      </c>
      <c r="H136" t="s">
        <v>52</v>
      </c>
      <c r="I136" t="s">
        <v>64</v>
      </c>
      <c r="J136" t="s">
        <v>52</v>
      </c>
      <c r="M136" t="s">
        <v>59</v>
      </c>
      <c r="N136" t="s">
        <v>59</v>
      </c>
      <c r="O136" t="s">
        <v>54</v>
      </c>
    </row>
    <row r="137" spans="1:15" x14ac:dyDescent="0.35">
      <c r="A137" t="s">
        <v>901</v>
      </c>
      <c r="B137" t="s">
        <v>677</v>
      </c>
      <c r="C137" t="s">
        <v>313</v>
      </c>
      <c r="D137" t="s">
        <v>93</v>
      </c>
      <c r="E137" t="s">
        <v>49</v>
      </c>
      <c r="F137" t="s">
        <v>50</v>
      </c>
      <c r="G137" t="s">
        <v>5</v>
      </c>
      <c r="H137" t="s">
        <v>52</v>
      </c>
      <c r="I137" t="s">
        <v>60</v>
      </c>
      <c r="J137" t="s">
        <v>52</v>
      </c>
      <c r="M137" t="s">
        <v>61</v>
      </c>
      <c r="N137" t="s">
        <v>61</v>
      </c>
      <c r="O137" t="s">
        <v>54</v>
      </c>
    </row>
    <row r="138" spans="1:15" hidden="1" x14ac:dyDescent="0.35">
      <c r="A138" t="s">
        <v>860</v>
      </c>
      <c r="B138" t="s">
        <v>504</v>
      </c>
      <c r="C138" t="s">
        <v>140</v>
      </c>
      <c r="D138" t="s">
        <v>48</v>
      </c>
      <c r="E138" t="s">
        <v>49</v>
      </c>
      <c r="F138" t="s">
        <v>55</v>
      </c>
      <c r="G138" t="s">
        <v>5</v>
      </c>
      <c r="H138" t="s">
        <v>52</v>
      </c>
      <c r="I138" t="s">
        <v>52</v>
      </c>
      <c r="J138" t="s">
        <v>52</v>
      </c>
      <c r="M138" t="s">
        <v>63</v>
      </c>
      <c r="N138" t="s">
        <v>63</v>
      </c>
      <c r="O138" t="s">
        <v>54</v>
      </c>
    </row>
    <row r="139" spans="1:15" hidden="1" x14ac:dyDescent="0.35">
      <c r="A139" t="s">
        <v>842</v>
      </c>
      <c r="B139" t="s">
        <v>612</v>
      </c>
      <c r="C139" t="s">
        <v>248</v>
      </c>
      <c r="D139" t="s">
        <v>48</v>
      </c>
      <c r="E139" t="s">
        <v>49</v>
      </c>
      <c r="F139" t="s">
        <v>55</v>
      </c>
      <c r="G139" t="s">
        <v>26</v>
      </c>
      <c r="H139" t="s">
        <v>52</v>
      </c>
      <c r="I139" t="s">
        <v>52</v>
      </c>
      <c r="J139" t="s">
        <v>51</v>
      </c>
      <c r="M139" t="s">
        <v>57</v>
      </c>
      <c r="N139" t="s">
        <v>57</v>
      </c>
      <c r="O139" t="s">
        <v>54</v>
      </c>
    </row>
    <row r="140" spans="1:15" x14ac:dyDescent="0.35">
      <c r="A140" t="s">
        <v>856</v>
      </c>
      <c r="B140" t="s">
        <v>585</v>
      </c>
      <c r="C140" t="s">
        <v>221</v>
      </c>
      <c r="D140" t="s">
        <v>48</v>
      </c>
      <c r="E140" t="s">
        <v>49</v>
      </c>
      <c r="F140" t="s">
        <v>50</v>
      </c>
      <c r="G140" t="s">
        <v>5</v>
      </c>
      <c r="H140" t="s">
        <v>52</v>
      </c>
      <c r="I140" t="s">
        <v>52</v>
      </c>
      <c r="J140" t="s">
        <v>51</v>
      </c>
      <c r="K140" t="s">
        <v>51</v>
      </c>
      <c r="M140" t="s">
        <v>61</v>
      </c>
      <c r="N140" t="s">
        <v>61</v>
      </c>
      <c r="O140" t="s">
        <v>54</v>
      </c>
    </row>
    <row r="141" spans="1:15" hidden="1" x14ac:dyDescent="0.35">
      <c r="A141" t="s">
        <v>872</v>
      </c>
      <c r="B141" t="s">
        <v>696</v>
      </c>
      <c r="C141" t="s">
        <v>332</v>
      </c>
      <c r="D141" t="s">
        <v>48</v>
      </c>
      <c r="E141" t="s">
        <v>49</v>
      </c>
      <c r="F141" t="s">
        <v>55</v>
      </c>
      <c r="G141" t="s">
        <v>5</v>
      </c>
      <c r="H141" t="s">
        <v>52</v>
      </c>
      <c r="I141" t="s">
        <v>52</v>
      </c>
      <c r="J141" t="s">
        <v>52</v>
      </c>
      <c r="M141" t="s">
        <v>57</v>
      </c>
      <c r="N141" t="s">
        <v>57</v>
      </c>
      <c r="O141" t="s">
        <v>54</v>
      </c>
    </row>
    <row r="142" spans="1:15" x14ac:dyDescent="0.35">
      <c r="A142" t="s">
        <v>902</v>
      </c>
      <c r="B142" t="s">
        <v>741</v>
      </c>
      <c r="C142" t="s">
        <v>377</v>
      </c>
      <c r="D142" t="s">
        <v>48</v>
      </c>
      <c r="E142" t="s">
        <v>49</v>
      </c>
      <c r="F142" t="s">
        <v>50</v>
      </c>
      <c r="G142" t="s">
        <v>23</v>
      </c>
      <c r="H142" t="s">
        <v>52</v>
      </c>
      <c r="I142" t="s">
        <v>64</v>
      </c>
      <c r="J142" t="s">
        <v>51</v>
      </c>
      <c r="L142" t="s">
        <v>62</v>
      </c>
      <c r="M142" t="s">
        <v>74</v>
      </c>
      <c r="N142" t="s">
        <v>74</v>
      </c>
      <c r="O142" t="s">
        <v>54</v>
      </c>
    </row>
    <row r="143" spans="1:15" x14ac:dyDescent="0.35">
      <c r="A143" t="s">
        <v>871</v>
      </c>
      <c r="B143" t="s">
        <v>541</v>
      </c>
      <c r="C143" t="s">
        <v>177</v>
      </c>
      <c r="D143" t="s">
        <v>48</v>
      </c>
      <c r="E143" t="s">
        <v>49</v>
      </c>
      <c r="F143" t="s">
        <v>50</v>
      </c>
      <c r="G143" t="s">
        <v>5</v>
      </c>
      <c r="H143" t="s">
        <v>52</v>
      </c>
      <c r="I143" t="s">
        <v>52</v>
      </c>
      <c r="J143" t="s">
        <v>52</v>
      </c>
      <c r="M143" t="s">
        <v>56</v>
      </c>
      <c r="N143" t="s">
        <v>56</v>
      </c>
      <c r="O143" t="s">
        <v>54</v>
      </c>
    </row>
    <row r="144" spans="1:15" x14ac:dyDescent="0.35">
      <c r="A144" t="s">
        <v>861</v>
      </c>
      <c r="B144" t="s">
        <v>688</v>
      </c>
      <c r="C144" t="s">
        <v>324</v>
      </c>
      <c r="D144" t="s">
        <v>48</v>
      </c>
      <c r="E144" t="s">
        <v>49</v>
      </c>
      <c r="F144" t="s">
        <v>50</v>
      </c>
      <c r="G144" t="s">
        <v>26</v>
      </c>
      <c r="H144" t="s">
        <v>52</v>
      </c>
      <c r="I144" t="s">
        <v>52</v>
      </c>
      <c r="J144" t="s">
        <v>51</v>
      </c>
      <c r="M144" t="s">
        <v>59</v>
      </c>
      <c r="N144" t="s">
        <v>59</v>
      </c>
      <c r="O144" t="s">
        <v>54</v>
      </c>
    </row>
    <row r="145" spans="1:15" hidden="1" x14ac:dyDescent="0.35">
      <c r="A145" t="s">
        <v>903</v>
      </c>
      <c r="B145" t="s">
        <v>574</v>
      </c>
      <c r="C145" t="s">
        <v>210</v>
      </c>
      <c r="D145" t="s">
        <v>48</v>
      </c>
      <c r="E145" t="s">
        <v>49</v>
      </c>
      <c r="F145" t="s">
        <v>55</v>
      </c>
      <c r="G145" t="s">
        <v>29</v>
      </c>
      <c r="H145" t="s">
        <v>52</v>
      </c>
      <c r="I145" t="s">
        <v>52</v>
      </c>
      <c r="J145" t="s">
        <v>52</v>
      </c>
      <c r="M145" t="s">
        <v>78</v>
      </c>
      <c r="N145" t="s">
        <v>78</v>
      </c>
      <c r="O145" t="s">
        <v>54</v>
      </c>
    </row>
    <row r="146" spans="1:15" hidden="1" x14ac:dyDescent="0.35">
      <c r="A146" t="s">
        <v>904</v>
      </c>
      <c r="B146" t="s">
        <v>487</v>
      </c>
      <c r="C146" t="s">
        <v>123</v>
      </c>
      <c r="D146" t="s">
        <v>48</v>
      </c>
      <c r="E146" t="s">
        <v>49</v>
      </c>
      <c r="F146" t="s">
        <v>55</v>
      </c>
      <c r="G146" t="s">
        <v>26</v>
      </c>
      <c r="H146" t="s">
        <v>52</v>
      </c>
      <c r="I146" t="s">
        <v>52</v>
      </c>
      <c r="J146" t="s">
        <v>52</v>
      </c>
      <c r="M146" t="s">
        <v>57</v>
      </c>
      <c r="N146" t="s">
        <v>57</v>
      </c>
      <c r="O146" t="s">
        <v>54</v>
      </c>
    </row>
    <row r="147" spans="1:15" x14ac:dyDescent="0.35">
      <c r="A147" t="s">
        <v>905</v>
      </c>
      <c r="B147" t="s">
        <v>599</v>
      </c>
      <c r="C147" t="s">
        <v>235</v>
      </c>
      <c r="D147" t="s">
        <v>48</v>
      </c>
      <c r="E147" t="s">
        <v>49</v>
      </c>
      <c r="F147" t="s">
        <v>50</v>
      </c>
      <c r="G147" t="s">
        <v>9</v>
      </c>
      <c r="H147" t="s">
        <v>52</v>
      </c>
      <c r="I147" t="s">
        <v>64</v>
      </c>
      <c r="J147" t="s">
        <v>51</v>
      </c>
      <c r="K147" t="s">
        <v>51</v>
      </c>
      <c r="M147" t="s">
        <v>74</v>
      </c>
      <c r="N147" t="s">
        <v>74</v>
      </c>
      <c r="O147" t="s">
        <v>54</v>
      </c>
    </row>
    <row r="148" spans="1:15" x14ac:dyDescent="0.35">
      <c r="A148" t="s">
        <v>906</v>
      </c>
      <c r="B148" t="s">
        <v>562</v>
      </c>
      <c r="C148" t="s">
        <v>198</v>
      </c>
      <c r="D148" t="s">
        <v>48</v>
      </c>
      <c r="E148" t="s">
        <v>49</v>
      </c>
      <c r="F148" t="s">
        <v>50</v>
      </c>
      <c r="G148" t="s">
        <v>29</v>
      </c>
      <c r="H148" t="s">
        <v>52</v>
      </c>
      <c r="I148" t="s">
        <v>52</v>
      </c>
      <c r="J148" t="s">
        <v>52</v>
      </c>
      <c r="M148" t="s">
        <v>56</v>
      </c>
      <c r="N148" t="s">
        <v>56</v>
      </c>
      <c r="O148" t="s">
        <v>54</v>
      </c>
    </row>
    <row r="149" spans="1:15" x14ac:dyDescent="0.35">
      <c r="A149" t="s">
        <v>867</v>
      </c>
      <c r="B149" t="s">
        <v>643</v>
      </c>
      <c r="C149" t="s">
        <v>279</v>
      </c>
      <c r="D149" t="s">
        <v>48</v>
      </c>
      <c r="E149" t="s">
        <v>49</v>
      </c>
      <c r="F149" t="s">
        <v>50</v>
      </c>
      <c r="G149" t="s">
        <v>26</v>
      </c>
      <c r="H149" t="s">
        <v>52</v>
      </c>
      <c r="I149" t="s">
        <v>52</v>
      </c>
      <c r="J149" t="s">
        <v>52</v>
      </c>
      <c r="M149" t="s">
        <v>63</v>
      </c>
      <c r="N149" t="s">
        <v>63</v>
      </c>
      <c r="O149" t="s">
        <v>54</v>
      </c>
    </row>
    <row r="150" spans="1:15" x14ac:dyDescent="0.35">
      <c r="A150" t="s">
        <v>907</v>
      </c>
      <c r="B150" t="s">
        <v>607</v>
      </c>
      <c r="C150" t="s">
        <v>243</v>
      </c>
      <c r="D150" t="s">
        <v>48</v>
      </c>
      <c r="E150" t="s">
        <v>49</v>
      </c>
      <c r="F150" t="s">
        <v>50</v>
      </c>
      <c r="G150" t="s">
        <v>9</v>
      </c>
      <c r="H150" t="s">
        <v>51</v>
      </c>
      <c r="I150" t="s">
        <v>52</v>
      </c>
      <c r="J150" t="s">
        <v>51</v>
      </c>
      <c r="K150" t="s">
        <v>51</v>
      </c>
      <c r="M150" t="s">
        <v>83</v>
      </c>
      <c r="N150" t="s">
        <v>83</v>
      </c>
      <c r="O150" t="s">
        <v>54</v>
      </c>
    </row>
    <row r="151" spans="1:15" hidden="1" x14ac:dyDescent="0.35">
      <c r="A151" t="s">
        <v>908</v>
      </c>
      <c r="B151" t="s">
        <v>742</v>
      </c>
      <c r="C151" t="s">
        <v>378</v>
      </c>
      <c r="D151" t="s">
        <v>48</v>
      </c>
      <c r="E151" t="s">
        <v>49</v>
      </c>
      <c r="F151" t="s">
        <v>55</v>
      </c>
      <c r="G151" t="s">
        <v>5</v>
      </c>
      <c r="H151" t="s">
        <v>52</v>
      </c>
      <c r="I151" t="s">
        <v>52</v>
      </c>
      <c r="J151" t="s">
        <v>51</v>
      </c>
      <c r="K151" t="s">
        <v>51</v>
      </c>
      <c r="M151" t="s">
        <v>94</v>
      </c>
      <c r="N151" t="s">
        <v>94</v>
      </c>
      <c r="O151" t="s">
        <v>54</v>
      </c>
    </row>
    <row r="152" spans="1:15" x14ac:dyDescent="0.35">
      <c r="A152" t="s">
        <v>832</v>
      </c>
      <c r="B152" t="s">
        <v>492</v>
      </c>
      <c r="C152" t="s">
        <v>128</v>
      </c>
      <c r="D152" t="s">
        <v>48</v>
      </c>
      <c r="E152" t="s">
        <v>49</v>
      </c>
      <c r="F152" t="s">
        <v>50</v>
      </c>
      <c r="G152" t="s">
        <v>5</v>
      </c>
      <c r="H152" t="s">
        <v>52</v>
      </c>
      <c r="I152" t="s">
        <v>52</v>
      </c>
      <c r="J152" t="s">
        <v>51</v>
      </c>
      <c r="M152" t="s">
        <v>59</v>
      </c>
      <c r="N152" t="s">
        <v>59</v>
      </c>
      <c r="O152" t="s">
        <v>54</v>
      </c>
    </row>
    <row r="153" spans="1:15" hidden="1" x14ac:dyDescent="0.35">
      <c r="A153" t="s">
        <v>909</v>
      </c>
      <c r="B153" t="s">
        <v>550</v>
      </c>
      <c r="C153" t="s">
        <v>186</v>
      </c>
      <c r="D153" t="s">
        <v>48</v>
      </c>
      <c r="E153" t="s">
        <v>49</v>
      </c>
      <c r="F153" t="s">
        <v>55</v>
      </c>
      <c r="G153" t="s">
        <v>4</v>
      </c>
      <c r="H153" t="s">
        <v>52</v>
      </c>
      <c r="I153" t="s">
        <v>52</v>
      </c>
      <c r="J153" t="s">
        <v>52</v>
      </c>
      <c r="M153" t="s">
        <v>72</v>
      </c>
      <c r="N153" t="s">
        <v>72</v>
      </c>
      <c r="O153" t="s">
        <v>54</v>
      </c>
    </row>
    <row r="154" spans="1:15" x14ac:dyDescent="0.35">
      <c r="A154" t="s">
        <v>841</v>
      </c>
      <c r="B154" t="s">
        <v>695</v>
      </c>
      <c r="C154" t="s">
        <v>331</v>
      </c>
      <c r="D154" t="s">
        <v>48</v>
      </c>
      <c r="E154" t="s">
        <v>49</v>
      </c>
      <c r="F154" t="s">
        <v>50</v>
      </c>
      <c r="G154" t="s">
        <v>5</v>
      </c>
      <c r="H154" t="s">
        <v>52</v>
      </c>
      <c r="I154" t="s">
        <v>52</v>
      </c>
      <c r="J154" t="s">
        <v>52</v>
      </c>
      <c r="M154" t="s">
        <v>57</v>
      </c>
      <c r="N154" t="s">
        <v>57</v>
      </c>
      <c r="O154" t="s">
        <v>54</v>
      </c>
    </row>
    <row r="155" spans="1:15" hidden="1" x14ac:dyDescent="0.35">
      <c r="A155" t="s">
        <v>833</v>
      </c>
      <c r="B155" t="s">
        <v>578</v>
      </c>
      <c r="C155" t="s">
        <v>214</v>
      </c>
      <c r="D155" t="s">
        <v>48</v>
      </c>
      <c r="E155" t="s">
        <v>49</v>
      </c>
      <c r="F155" t="s">
        <v>55</v>
      </c>
      <c r="G155" t="s">
        <v>9</v>
      </c>
      <c r="H155" t="s">
        <v>51</v>
      </c>
      <c r="I155" t="s">
        <v>52</v>
      </c>
      <c r="J155" t="s">
        <v>51</v>
      </c>
      <c r="K155" t="s">
        <v>51</v>
      </c>
      <c r="M155" t="s">
        <v>59</v>
      </c>
      <c r="N155" t="s">
        <v>59</v>
      </c>
      <c r="O155" t="s">
        <v>54</v>
      </c>
    </row>
    <row r="156" spans="1:15" hidden="1" x14ac:dyDescent="0.35">
      <c r="A156" t="s">
        <v>874</v>
      </c>
      <c r="B156" t="s">
        <v>529</v>
      </c>
      <c r="C156" t="s">
        <v>165</v>
      </c>
      <c r="D156" t="s">
        <v>48</v>
      </c>
      <c r="E156" t="s">
        <v>49</v>
      </c>
      <c r="F156" t="s">
        <v>55</v>
      </c>
      <c r="G156" t="s">
        <v>20</v>
      </c>
      <c r="H156" t="s">
        <v>52</v>
      </c>
      <c r="I156" t="s">
        <v>64</v>
      </c>
      <c r="J156" t="s">
        <v>52</v>
      </c>
      <c r="M156" t="s">
        <v>66</v>
      </c>
      <c r="N156" t="s">
        <v>66</v>
      </c>
      <c r="O156" t="s">
        <v>54</v>
      </c>
    </row>
    <row r="157" spans="1:15" hidden="1" x14ac:dyDescent="0.35">
      <c r="A157" t="s">
        <v>845</v>
      </c>
      <c r="B157" t="s">
        <v>712</v>
      </c>
      <c r="C157" t="s">
        <v>348</v>
      </c>
      <c r="D157" t="s">
        <v>48</v>
      </c>
      <c r="E157" t="s">
        <v>49</v>
      </c>
      <c r="F157" t="s">
        <v>55</v>
      </c>
      <c r="G157" t="s">
        <v>26</v>
      </c>
      <c r="H157" t="s">
        <v>52</v>
      </c>
      <c r="I157" t="s">
        <v>52</v>
      </c>
      <c r="J157" t="s">
        <v>52</v>
      </c>
      <c r="M157" t="s">
        <v>57</v>
      </c>
      <c r="N157" t="s">
        <v>57</v>
      </c>
      <c r="O157" t="s">
        <v>54</v>
      </c>
    </row>
    <row r="158" spans="1:15" hidden="1" x14ac:dyDescent="0.35">
      <c r="A158" t="s">
        <v>876</v>
      </c>
      <c r="B158" t="s">
        <v>494</v>
      </c>
      <c r="C158" t="s">
        <v>130</v>
      </c>
      <c r="D158" t="s">
        <v>48</v>
      </c>
      <c r="E158" t="s">
        <v>49</v>
      </c>
      <c r="F158" t="s">
        <v>55</v>
      </c>
      <c r="G158" t="s">
        <v>9</v>
      </c>
      <c r="H158" t="s">
        <v>52</v>
      </c>
      <c r="I158" t="s">
        <v>52</v>
      </c>
      <c r="J158" t="s">
        <v>51</v>
      </c>
      <c r="M158" t="s">
        <v>63</v>
      </c>
      <c r="N158" t="s">
        <v>63</v>
      </c>
      <c r="O158" t="s">
        <v>54</v>
      </c>
    </row>
    <row r="159" spans="1:15" hidden="1" x14ac:dyDescent="0.35">
      <c r="A159" t="s">
        <v>839</v>
      </c>
      <c r="B159" t="s">
        <v>602</v>
      </c>
      <c r="C159" t="s">
        <v>238</v>
      </c>
      <c r="D159" t="s">
        <v>48</v>
      </c>
      <c r="E159" t="s">
        <v>49</v>
      </c>
      <c r="F159" t="s">
        <v>55</v>
      </c>
      <c r="G159" t="s">
        <v>13</v>
      </c>
      <c r="H159" t="s">
        <v>52</v>
      </c>
      <c r="I159" t="s">
        <v>52</v>
      </c>
      <c r="J159" t="s">
        <v>52</v>
      </c>
      <c r="M159" t="s">
        <v>59</v>
      </c>
      <c r="N159" t="s">
        <v>59</v>
      </c>
      <c r="O159" t="s">
        <v>54</v>
      </c>
    </row>
    <row r="160" spans="1:15" x14ac:dyDescent="0.35">
      <c r="A160" t="s">
        <v>873</v>
      </c>
      <c r="B160" t="s">
        <v>799</v>
      </c>
      <c r="C160" t="s">
        <v>435</v>
      </c>
      <c r="D160" t="s">
        <v>48</v>
      </c>
      <c r="E160" t="s">
        <v>49</v>
      </c>
      <c r="F160" t="s">
        <v>50</v>
      </c>
      <c r="G160" t="s">
        <v>9</v>
      </c>
      <c r="H160" t="s">
        <v>52</v>
      </c>
      <c r="I160" t="s">
        <v>52</v>
      </c>
      <c r="J160" t="s">
        <v>52</v>
      </c>
      <c r="M160" t="s">
        <v>57</v>
      </c>
      <c r="N160" t="s">
        <v>57</v>
      </c>
      <c r="O160" t="s">
        <v>54</v>
      </c>
    </row>
    <row r="161" spans="1:15" x14ac:dyDescent="0.35">
      <c r="A161" t="s">
        <v>864</v>
      </c>
      <c r="B161" t="s">
        <v>525</v>
      </c>
      <c r="C161" t="s">
        <v>161</v>
      </c>
      <c r="D161" t="s">
        <v>48</v>
      </c>
      <c r="E161" t="s">
        <v>49</v>
      </c>
      <c r="F161" t="s">
        <v>50</v>
      </c>
      <c r="G161" t="s">
        <v>22</v>
      </c>
      <c r="H161" t="s">
        <v>52</v>
      </c>
      <c r="I161" t="s">
        <v>52</v>
      </c>
      <c r="J161" t="s">
        <v>51</v>
      </c>
      <c r="M161" t="s">
        <v>57</v>
      </c>
      <c r="N161" t="s">
        <v>57</v>
      </c>
      <c r="O161" t="s">
        <v>54</v>
      </c>
    </row>
    <row r="162" spans="1:15" x14ac:dyDescent="0.35">
      <c r="A162" t="s">
        <v>901</v>
      </c>
      <c r="B162" t="s">
        <v>558</v>
      </c>
      <c r="C162" t="s">
        <v>194</v>
      </c>
      <c r="D162" t="s">
        <v>48</v>
      </c>
      <c r="E162" t="s">
        <v>49</v>
      </c>
      <c r="F162" t="s">
        <v>50</v>
      </c>
      <c r="G162" t="s">
        <v>26</v>
      </c>
      <c r="H162" t="s">
        <v>52</v>
      </c>
      <c r="I162" t="s">
        <v>60</v>
      </c>
      <c r="J162" t="s">
        <v>51</v>
      </c>
      <c r="K162" t="s">
        <v>51</v>
      </c>
      <c r="M162" t="s">
        <v>61</v>
      </c>
      <c r="N162" t="s">
        <v>61</v>
      </c>
      <c r="O162" t="s">
        <v>54</v>
      </c>
    </row>
    <row r="163" spans="1:15" hidden="1" x14ac:dyDescent="0.35">
      <c r="A163" t="s">
        <v>896</v>
      </c>
      <c r="B163" t="s">
        <v>788</v>
      </c>
      <c r="C163" t="s">
        <v>424</v>
      </c>
      <c r="D163" t="s">
        <v>48</v>
      </c>
      <c r="E163" t="s">
        <v>49</v>
      </c>
      <c r="F163" t="s">
        <v>55</v>
      </c>
      <c r="G163" t="s">
        <v>5</v>
      </c>
      <c r="H163" t="s">
        <v>51</v>
      </c>
      <c r="I163" t="s">
        <v>52</v>
      </c>
      <c r="J163" t="s">
        <v>52</v>
      </c>
      <c r="M163" t="s">
        <v>69</v>
      </c>
      <c r="N163" t="s">
        <v>69</v>
      </c>
      <c r="O163" t="s">
        <v>54</v>
      </c>
    </row>
    <row r="164" spans="1:15" x14ac:dyDescent="0.35">
      <c r="A164" t="s">
        <v>844</v>
      </c>
      <c r="B164" t="s">
        <v>543</v>
      </c>
      <c r="C164" t="s">
        <v>179</v>
      </c>
      <c r="D164" t="s">
        <v>48</v>
      </c>
      <c r="E164" t="s">
        <v>49</v>
      </c>
      <c r="F164" t="s">
        <v>50</v>
      </c>
      <c r="G164" t="s">
        <v>5</v>
      </c>
      <c r="H164" t="s">
        <v>52</v>
      </c>
      <c r="I164" t="s">
        <v>52</v>
      </c>
      <c r="J164" t="s">
        <v>51</v>
      </c>
      <c r="M164" t="s">
        <v>63</v>
      </c>
      <c r="N164" t="s">
        <v>63</v>
      </c>
      <c r="O164" t="s">
        <v>54</v>
      </c>
    </row>
    <row r="165" spans="1:15" hidden="1" x14ac:dyDescent="0.35">
      <c r="A165" t="s">
        <v>910</v>
      </c>
      <c r="B165" t="s">
        <v>628</v>
      </c>
      <c r="C165" t="s">
        <v>264</v>
      </c>
      <c r="D165" t="s">
        <v>48</v>
      </c>
      <c r="E165" t="s">
        <v>49</v>
      </c>
      <c r="F165" t="s">
        <v>55</v>
      </c>
      <c r="G165" t="s">
        <v>26</v>
      </c>
      <c r="H165" t="s">
        <v>52</v>
      </c>
      <c r="I165" t="s">
        <v>52</v>
      </c>
      <c r="J165" t="s">
        <v>51</v>
      </c>
      <c r="M165" t="s">
        <v>87</v>
      </c>
      <c r="N165" t="s">
        <v>87</v>
      </c>
      <c r="O165" t="s">
        <v>54</v>
      </c>
    </row>
    <row r="166" spans="1:15" x14ac:dyDescent="0.35">
      <c r="A166" t="s">
        <v>859</v>
      </c>
      <c r="B166" t="s">
        <v>817</v>
      </c>
      <c r="C166" t="s">
        <v>453</v>
      </c>
      <c r="D166" t="s">
        <v>48</v>
      </c>
      <c r="E166" t="s">
        <v>49</v>
      </c>
      <c r="F166" t="s">
        <v>50</v>
      </c>
      <c r="G166" t="s">
        <v>13</v>
      </c>
      <c r="H166" t="s">
        <v>52</v>
      </c>
      <c r="I166" t="s">
        <v>60</v>
      </c>
      <c r="J166" t="s">
        <v>51</v>
      </c>
      <c r="M166" t="s">
        <v>59</v>
      </c>
      <c r="N166" t="s">
        <v>59</v>
      </c>
      <c r="O166" t="s">
        <v>54</v>
      </c>
    </row>
    <row r="167" spans="1:15" hidden="1" x14ac:dyDescent="0.35">
      <c r="A167" t="s">
        <v>911</v>
      </c>
      <c r="B167" t="s">
        <v>629</v>
      </c>
      <c r="C167" t="s">
        <v>265</v>
      </c>
      <c r="D167" t="s">
        <v>48</v>
      </c>
      <c r="E167" t="s">
        <v>49</v>
      </c>
      <c r="F167" t="s">
        <v>55</v>
      </c>
      <c r="G167" t="s">
        <v>29</v>
      </c>
      <c r="H167" t="s">
        <v>51</v>
      </c>
      <c r="I167" t="s">
        <v>52</v>
      </c>
      <c r="J167" t="s">
        <v>51</v>
      </c>
      <c r="K167" t="s">
        <v>51</v>
      </c>
      <c r="M167" t="s">
        <v>88</v>
      </c>
      <c r="N167" t="s">
        <v>88</v>
      </c>
      <c r="O167" t="s">
        <v>54</v>
      </c>
    </row>
    <row r="168" spans="1:15" x14ac:dyDescent="0.35">
      <c r="A168" t="s">
        <v>912</v>
      </c>
      <c r="B168" t="s">
        <v>826</v>
      </c>
      <c r="C168" t="s">
        <v>462</v>
      </c>
      <c r="D168" t="s">
        <v>48</v>
      </c>
      <c r="E168" t="s">
        <v>49</v>
      </c>
      <c r="F168" t="s">
        <v>50</v>
      </c>
      <c r="G168" t="s">
        <v>26</v>
      </c>
      <c r="H168" t="s">
        <v>51</v>
      </c>
      <c r="I168" t="s">
        <v>52</v>
      </c>
      <c r="J168" t="s">
        <v>51</v>
      </c>
      <c r="K168" t="s">
        <v>51</v>
      </c>
      <c r="M168" t="s">
        <v>99</v>
      </c>
      <c r="N168" t="s">
        <v>99</v>
      </c>
      <c r="O168" t="s">
        <v>54</v>
      </c>
    </row>
    <row r="169" spans="1:15" hidden="1" x14ac:dyDescent="0.35">
      <c r="A169" t="s">
        <v>830</v>
      </c>
      <c r="B169" t="s">
        <v>502</v>
      </c>
      <c r="C169" t="s">
        <v>138</v>
      </c>
      <c r="D169" t="s">
        <v>48</v>
      </c>
      <c r="E169" t="s">
        <v>49</v>
      </c>
      <c r="F169" t="s">
        <v>55</v>
      </c>
      <c r="G169" t="s">
        <v>5</v>
      </c>
      <c r="H169" t="s">
        <v>52</v>
      </c>
      <c r="I169" t="s">
        <v>64</v>
      </c>
      <c r="J169" t="s">
        <v>52</v>
      </c>
      <c r="M169" t="s">
        <v>56</v>
      </c>
      <c r="N169" t="s">
        <v>56</v>
      </c>
      <c r="O169" t="s">
        <v>54</v>
      </c>
    </row>
    <row r="170" spans="1:15" x14ac:dyDescent="0.35">
      <c r="A170" t="s">
        <v>879</v>
      </c>
      <c r="B170" t="s">
        <v>591</v>
      </c>
      <c r="C170" t="s">
        <v>227</v>
      </c>
      <c r="D170" t="s">
        <v>48</v>
      </c>
      <c r="E170" t="s">
        <v>49</v>
      </c>
      <c r="F170" t="s">
        <v>50</v>
      </c>
      <c r="G170" t="s">
        <v>29</v>
      </c>
      <c r="H170" t="s">
        <v>52</v>
      </c>
      <c r="I170" t="s">
        <v>60</v>
      </c>
      <c r="J170" t="s">
        <v>52</v>
      </c>
      <c r="M170" t="s">
        <v>61</v>
      </c>
      <c r="N170" t="s">
        <v>61</v>
      </c>
      <c r="O170" t="s">
        <v>54</v>
      </c>
    </row>
    <row r="171" spans="1:15" hidden="1" x14ac:dyDescent="0.35">
      <c r="A171" t="s">
        <v>851</v>
      </c>
      <c r="B171" t="s">
        <v>666</v>
      </c>
      <c r="C171" t="s">
        <v>302</v>
      </c>
      <c r="D171" t="s">
        <v>48</v>
      </c>
      <c r="E171" t="s">
        <v>49</v>
      </c>
      <c r="F171" t="s">
        <v>55</v>
      </c>
      <c r="G171" t="s">
        <v>20</v>
      </c>
      <c r="H171" t="s">
        <v>52</v>
      </c>
      <c r="I171" t="s">
        <v>60</v>
      </c>
      <c r="J171" t="s">
        <v>51</v>
      </c>
      <c r="M171" t="s">
        <v>67</v>
      </c>
      <c r="N171" t="s">
        <v>67</v>
      </c>
      <c r="O171" t="s">
        <v>54</v>
      </c>
    </row>
    <row r="172" spans="1:15" hidden="1" x14ac:dyDescent="0.35">
      <c r="A172" t="s">
        <v>849</v>
      </c>
      <c r="B172" t="s">
        <v>665</v>
      </c>
      <c r="C172" t="s">
        <v>301</v>
      </c>
      <c r="D172" t="s">
        <v>48</v>
      </c>
      <c r="E172" t="s">
        <v>49</v>
      </c>
      <c r="F172" t="s">
        <v>55</v>
      </c>
      <c r="G172" t="s">
        <v>26</v>
      </c>
      <c r="H172" t="s">
        <v>52</v>
      </c>
      <c r="I172" t="s">
        <v>52</v>
      </c>
      <c r="J172" t="s">
        <v>52</v>
      </c>
      <c r="M172" t="s">
        <v>59</v>
      </c>
      <c r="N172" t="s">
        <v>59</v>
      </c>
      <c r="O172" t="s">
        <v>54</v>
      </c>
    </row>
    <row r="173" spans="1:15" hidden="1" x14ac:dyDescent="0.35">
      <c r="A173" t="s">
        <v>833</v>
      </c>
      <c r="B173" t="s">
        <v>751</v>
      </c>
      <c r="C173" t="s">
        <v>387</v>
      </c>
      <c r="D173" t="s">
        <v>48</v>
      </c>
      <c r="E173" t="s">
        <v>49</v>
      </c>
      <c r="F173" t="s">
        <v>55</v>
      </c>
      <c r="G173" t="s">
        <v>2</v>
      </c>
      <c r="H173" t="s">
        <v>51</v>
      </c>
      <c r="I173" t="s">
        <v>52</v>
      </c>
      <c r="J173" t="s">
        <v>51</v>
      </c>
      <c r="K173" t="s">
        <v>51</v>
      </c>
      <c r="M173" t="s">
        <v>59</v>
      </c>
      <c r="N173" t="s">
        <v>59</v>
      </c>
      <c r="O173" t="s">
        <v>54</v>
      </c>
    </row>
    <row r="174" spans="1:15" hidden="1" x14ac:dyDescent="0.35">
      <c r="A174" t="s">
        <v>847</v>
      </c>
      <c r="B174" t="s">
        <v>800</v>
      </c>
      <c r="C174" t="s">
        <v>436</v>
      </c>
      <c r="D174" t="s">
        <v>48</v>
      </c>
      <c r="E174" t="s">
        <v>49</v>
      </c>
      <c r="F174" t="s">
        <v>55</v>
      </c>
      <c r="G174" t="s">
        <v>9</v>
      </c>
      <c r="H174" t="s">
        <v>52</v>
      </c>
      <c r="I174" t="s">
        <v>60</v>
      </c>
      <c r="J174" t="s">
        <v>52</v>
      </c>
      <c r="M174" t="s">
        <v>67</v>
      </c>
      <c r="N174" t="s">
        <v>67</v>
      </c>
      <c r="O174" t="s">
        <v>54</v>
      </c>
    </row>
    <row r="175" spans="1:15" hidden="1" x14ac:dyDescent="0.35">
      <c r="A175" t="s">
        <v>849</v>
      </c>
      <c r="B175" t="s">
        <v>755</v>
      </c>
      <c r="C175" t="s">
        <v>391</v>
      </c>
      <c r="D175" t="s">
        <v>48</v>
      </c>
      <c r="E175" t="s">
        <v>49</v>
      </c>
      <c r="F175" t="s">
        <v>55</v>
      </c>
      <c r="G175" t="s">
        <v>5</v>
      </c>
      <c r="H175" t="s">
        <v>52</v>
      </c>
      <c r="I175" t="s">
        <v>52</v>
      </c>
      <c r="J175" t="s">
        <v>52</v>
      </c>
      <c r="M175" t="s">
        <v>59</v>
      </c>
      <c r="N175" t="s">
        <v>59</v>
      </c>
      <c r="O175" t="s">
        <v>54</v>
      </c>
    </row>
    <row r="176" spans="1:15" x14ac:dyDescent="0.35">
      <c r="A176" t="s">
        <v>846</v>
      </c>
      <c r="B176" t="s">
        <v>573</v>
      </c>
      <c r="C176" t="s">
        <v>209</v>
      </c>
      <c r="D176" t="s">
        <v>48</v>
      </c>
      <c r="E176" t="s">
        <v>49</v>
      </c>
      <c r="F176" t="s">
        <v>50</v>
      </c>
      <c r="G176" t="s">
        <v>0</v>
      </c>
      <c r="H176" t="s">
        <v>52</v>
      </c>
      <c r="I176" t="s">
        <v>52</v>
      </c>
      <c r="J176" t="s">
        <v>52</v>
      </c>
      <c r="M176" t="s">
        <v>57</v>
      </c>
      <c r="N176" t="s">
        <v>57</v>
      </c>
      <c r="O176" t="s">
        <v>54</v>
      </c>
    </row>
    <row r="177" spans="1:15" hidden="1" x14ac:dyDescent="0.35">
      <c r="A177" t="s">
        <v>893</v>
      </c>
      <c r="B177" t="s">
        <v>657</v>
      </c>
      <c r="C177" t="s">
        <v>293</v>
      </c>
      <c r="D177" t="s">
        <v>48</v>
      </c>
      <c r="E177" t="s">
        <v>49</v>
      </c>
      <c r="F177" t="s">
        <v>55</v>
      </c>
      <c r="G177" t="s">
        <v>9</v>
      </c>
      <c r="H177" t="s">
        <v>52</v>
      </c>
      <c r="I177" t="s">
        <v>52</v>
      </c>
      <c r="J177" t="s">
        <v>52</v>
      </c>
      <c r="M177" t="s">
        <v>67</v>
      </c>
      <c r="N177" t="s">
        <v>67</v>
      </c>
      <c r="O177" t="s">
        <v>54</v>
      </c>
    </row>
    <row r="178" spans="1:15" hidden="1" x14ac:dyDescent="0.35">
      <c r="A178" t="s">
        <v>834</v>
      </c>
      <c r="B178" t="s">
        <v>664</v>
      </c>
      <c r="C178" t="s">
        <v>300</v>
      </c>
      <c r="D178" t="s">
        <v>48</v>
      </c>
      <c r="E178" t="s">
        <v>49</v>
      </c>
      <c r="F178" t="s">
        <v>55</v>
      </c>
      <c r="G178" t="s">
        <v>19</v>
      </c>
      <c r="H178" t="s">
        <v>52</v>
      </c>
      <c r="I178" t="s">
        <v>60</v>
      </c>
      <c r="J178" t="s">
        <v>52</v>
      </c>
      <c r="M178" t="s">
        <v>56</v>
      </c>
      <c r="N178" t="s">
        <v>56</v>
      </c>
      <c r="O178" t="s">
        <v>54</v>
      </c>
    </row>
    <row r="179" spans="1:15" x14ac:dyDescent="0.35">
      <c r="A179" t="s">
        <v>870</v>
      </c>
      <c r="B179" t="s">
        <v>635</v>
      </c>
      <c r="C179" t="s">
        <v>271</v>
      </c>
      <c r="D179" t="s">
        <v>48</v>
      </c>
      <c r="E179" t="s">
        <v>49</v>
      </c>
      <c r="F179" t="s">
        <v>50</v>
      </c>
      <c r="G179" t="s">
        <v>9</v>
      </c>
      <c r="H179" t="s">
        <v>52</v>
      </c>
      <c r="I179" t="s">
        <v>52</v>
      </c>
      <c r="J179" t="s">
        <v>52</v>
      </c>
      <c r="M179" t="s">
        <v>67</v>
      </c>
      <c r="N179" t="s">
        <v>67</v>
      </c>
      <c r="O179" t="s">
        <v>54</v>
      </c>
    </row>
    <row r="180" spans="1:15" x14ac:dyDescent="0.35">
      <c r="A180" t="s">
        <v>913</v>
      </c>
      <c r="B180" t="s">
        <v>780</v>
      </c>
      <c r="C180" t="s">
        <v>416</v>
      </c>
      <c r="D180" t="s">
        <v>48</v>
      </c>
      <c r="E180" t="s">
        <v>49</v>
      </c>
      <c r="F180" t="s">
        <v>50</v>
      </c>
      <c r="G180" t="s">
        <v>13</v>
      </c>
      <c r="H180" t="s">
        <v>52</v>
      </c>
      <c r="I180" t="s">
        <v>60</v>
      </c>
      <c r="J180" t="s">
        <v>51</v>
      </c>
      <c r="K180" t="s">
        <v>51</v>
      </c>
      <c r="M180" t="s">
        <v>75</v>
      </c>
      <c r="N180" t="s">
        <v>75</v>
      </c>
      <c r="O180" t="s">
        <v>54</v>
      </c>
    </row>
    <row r="181" spans="1:15" x14ac:dyDescent="0.35">
      <c r="A181" t="s">
        <v>864</v>
      </c>
      <c r="B181" t="s">
        <v>710</v>
      </c>
      <c r="C181" t="s">
        <v>346</v>
      </c>
      <c r="D181" t="s">
        <v>48</v>
      </c>
      <c r="E181" t="s">
        <v>49</v>
      </c>
      <c r="F181" t="s">
        <v>50</v>
      </c>
      <c r="G181" t="s">
        <v>5</v>
      </c>
      <c r="H181" t="s">
        <v>51</v>
      </c>
      <c r="I181" t="s">
        <v>52</v>
      </c>
      <c r="J181" t="s">
        <v>51</v>
      </c>
      <c r="M181" t="s">
        <v>57</v>
      </c>
      <c r="N181" t="s">
        <v>57</v>
      </c>
      <c r="O181" t="s">
        <v>54</v>
      </c>
    </row>
    <row r="182" spans="1:15" x14ac:dyDescent="0.35">
      <c r="A182" t="s">
        <v>843</v>
      </c>
      <c r="B182" t="s">
        <v>683</v>
      </c>
      <c r="C182" t="s">
        <v>319</v>
      </c>
      <c r="D182" t="s">
        <v>48</v>
      </c>
      <c r="E182" t="s">
        <v>49</v>
      </c>
      <c r="F182" t="s">
        <v>50</v>
      </c>
      <c r="G182" t="s">
        <v>7</v>
      </c>
      <c r="H182" t="s">
        <v>52</v>
      </c>
      <c r="I182" t="s">
        <v>52</v>
      </c>
      <c r="J182" t="s">
        <v>52</v>
      </c>
      <c r="M182" t="s">
        <v>67</v>
      </c>
      <c r="N182" t="s">
        <v>67</v>
      </c>
      <c r="O182" t="s">
        <v>54</v>
      </c>
    </row>
    <row r="183" spans="1:15" hidden="1" x14ac:dyDescent="0.35">
      <c r="A183" t="s">
        <v>914</v>
      </c>
      <c r="B183" t="s">
        <v>823</v>
      </c>
      <c r="C183" t="s">
        <v>459</v>
      </c>
      <c r="D183" t="s">
        <v>48</v>
      </c>
      <c r="E183" t="s">
        <v>49</v>
      </c>
      <c r="F183" t="s">
        <v>55</v>
      </c>
      <c r="G183" t="s">
        <v>25</v>
      </c>
      <c r="H183" t="s">
        <v>52</v>
      </c>
      <c r="I183" t="s">
        <v>52</v>
      </c>
      <c r="J183" t="s">
        <v>51</v>
      </c>
      <c r="K183" t="s">
        <v>51</v>
      </c>
      <c r="M183" t="s">
        <v>98</v>
      </c>
      <c r="N183" t="s">
        <v>98</v>
      </c>
      <c r="O183" t="s">
        <v>54</v>
      </c>
    </row>
    <row r="184" spans="1:15" hidden="1" x14ac:dyDescent="0.35">
      <c r="A184" t="s">
        <v>915</v>
      </c>
      <c r="B184" t="s">
        <v>690</v>
      </c>
      <c r="C184" t="s">
        <v>326</v>
      </c>
      <c r="D184" t="s">
        <v>48</v>
      </c>
      <c r="E184" t="s">
        <v>49</v>
      </c>
      <c r="F184" t="s">
        <v>55</v>
      </c>
      <c r="G184" t="s">
        <v>26</v>
      </c>
      <c r="H184" t="s">
        <v>52</v>
      </c>
      <c r="I184" t="s">
        <v>52</v>
      </c>
      <c r="J184" t="s">
        <v>52</v>
      </c>
      <c r="M184" t="s">
        <v>74</v>
      </c>
      <c r="N184" t="s">
        <v>74</v>
      </c>
      <c r="O184" t="s">
        <v>54</v>
      </c>
    </row>
    <row r="185" spans="1:15" hidden="1" x14ac:dyDescent="0.35">
      <c r="A185" t="s">
        <v>847</v>
      </c>
      <c r="B185" t="s">
        <v>794</v>
      </c>
      <c r="C185" t="s">
        <v>430</v>
      </c>
      <c r="D185" t="s">
        <v>48</v>
      </c>
      <c r="E185" t="s">
        <v>49</v>
      </c>
      <c r="F185" t="s">
        <v>55</v>
      </c>
      <c r="G185" t="s">
        <v>21</v>
      </c>
      <c r="H185" t="s">
        <v>52</v>
      </c>
      <c r="I185" t="s">
        <v>52</v>
      </c>
      <c r="J185" t="s">
        <v>51</v>
      </c>
      <c r="K185" t="s">
        <v>58</v>
      </c>
      <c r="M185" t="s">
        <v>67</v>
      </c>
      <c r="N185" t="s">
        <v>67</v>
      </c>
      <c r="O185" t="s">
        <v>54</v>
      </c>
    </row>
    <row r="186" spans="1:15" x14ac:dyDescent="0.35">
      <c r="A186" t="s">
        <v>836</v>
      </c>
      <c r="B186" t="s">
        <v>601</v>
      </c>
      <c r="C186" t="s">
        <v>237</v>
      </c>
      <c r="D186" t="s">
        <v>48</v>
      </c>
      <c r="E186" t="s">
        <v>49</v>
      </c>
      <c r="F186" t="s">
        <v>50</v>
      </c>
      <c r="G186" t="s">
        <v>9</v>
      </c>
      <c r="H186" t="s">
        <v>52</v>
      </c>
      <c r="I186" t="s">
        <v>60</v>
      </c>
      <c r="J186" t="s">
        <v>52</v>
      </c>
      <c r="M186" t="s">
        <v>63</v>
      </c>
      <c r="N186" t="s">
        <v>63</v>
      </c>
      <c r="O186" t="s">
        <v>54</v>
      </c>
    </row>
    <row r="187" spans="1:15" x14ac:dyDescent="0.35">
      <c r="A187" t="s">
        <v>850</v>
      </c>
      <c r="B187" t="s">
        <v>554</v>
      </c>
      <c r="C187" t="s">
        <v>190</v>
      </c>
      <c r="D187" t="s">
        <v>48</v>
      </c>
      <c r="E187" t="s">
        <v>49</v>
      </c>
      <c r="F187" t="s">
        <v>50</v>
      </c>
      <c r="G187" t="s">
        <v>9</v>
      </c>
      <c r="H187" t="s">
        <v>52</v>
      </c>
      <c r="I187" t="s">
        <v>52</v>
      </c>
      <c r="J187" t="s">
        <v>52</v>
      </c>
      <c r="M187" t="s">
        <v>57</v>
      </c>
      <c r="N187" t="s">
        <v>57</v>
      </c>
      <c r="O187" t="s">
        <v>54</v>
      </c>
    </row>
    <row r="188" spans="1:15" hidden="1" x14ac:dyDescent="0.35">
      <c r="A188" t="s">
        <v>916</v>
      </c>
      <c r="B188" t="s">
        <v>729</v>
      </c>
      <c r="C188" t="s">
        <v>365</v>
      </c>
      <c r="D188" t="s">
        <v>48</v>
      </c>
      <c r="E188" t="s">
        <v>49</v>
      </c>
      <c r="F188" t="s">
        <v>55</v>
      </c>
      <c r="G188" t="s">
        <v>29</v>
      </c>
      <c r="H188" t="s">
        <v>52</v>
      </c>
      <c r="I188" t="s">
        <v>60</v>
      </c>
      <c r="J188" t="s">
        <v>52</v>
      </c>
      <c r="M188" t="s">
        <v>56</v>
      </c>
      <c r="N188" t="s">
        <v>56</v>
      </c>
      <c r="O188" t="s">
        <v>54</v>
      </c>
    </row>
    <row r="189" spans="1:15" x14ac:dyDescent="0.35">
      <c r="A189" t="s">
        <v>864</v>
      </c>
      <c r="B189" t="s">
        <v>724</v>
      </c>
      <c r="C189" t="s">
        <v>360</v>
      </c>
      <c r="D189" t="s">
        <v>48</v>
      </c>
      <c r="E189" t="s">
        <v>49</v>
      </c>
      <c r="F189" t="s">
        <v>50</v>
      </c>
      <c r="G189" t="s">
        <v>13</v>
      </c>
      <c r="H189" t="s">
        <v>52</v>
      </c>
      <c r="I189" t="s">
        <v>52</v>
      </c>
      <c r="J189" t="s">
        <v>52</v>
      </c>
      <c r="M189" t="s">
        <v>57</v>
      </c>
      <c r="N189" t="s">
        <v>57</v>
      </c>
      <c r="O189" t="s">
        <v>54</v>
      </c>
    </row>
    <row r="190" spans="1:15" x14ac:dyDescent="0.35">
      <c r="A190" t="s">
        <v>879</v>
      </c>
      <c r="B190" t="s">
        <v>777</v>
      </c>
      <c r="C190" t="s">
        <v>413</v>
      </c>
      <c r="D190" t="s">
        <v>48</v>
      </c>
      <c r="E190" t="s">
        <v>49</v>
      </c>
      <c r="F190" t="s">
        <v>50</v>
      </c>
      <c r="G190" t="s">
        <v>5</v>
      </c>
      <c r="H190" t="s">
        <v>52</v>
      </c>
      <c r="I190" t="s">
        <v>60</v>
      </c>
      <c r="J190" t="s">
        <v>51</v>
      </c>
      <c r="M190" t="s">
        <v>61</v>
      </c>
      <c r="N190" t="s">
        <v>61</v>
      </c>
      <c r="O190" t="s">
        <v>54</v>
      </c>
    </row>
    <row r="191" spans="1:15" x14ac:dyDescent="0.35">
      <c r="A191" t="s">
        <v>848</v>
      </c>
      <c r="B191" t="s">
        <v>495</v>
      </c>
      <c r="C191" t="s">
        <v>131</v>
      </c>
      <c r="D191" t="s">
        <v>48</v>
      </c>
      <c r="E191" t="s">
        <v>49</v>
      </c>
      <c r="F191" t="s">
        <v>50</v>
      </c>
      <c r="G191" t="s">
        <v>5</v>
      </c>
      <c r="H191" t="s">
        <v>51</v>
      </c>
      <c r="I191" t="s">
        <v>52</v>
      </c>
      <c r="J191" t="s">
        <v>52</v>
      </c>
      <c r="M191" t="s">
        <v>56</v>
      </c>
      <c r="N191" t="s">
        <v>56</v>
      </c>
      <c r="O191" t="s">
        <v>54</v>
      </c>
    </row>
    <row r="192" spans="1:15" x14ac:dyDescent="0.35">
      <c r="A192" t="s">
        <v>877</v>
      </c>
      <c r="B192" t="s">
        <v>508</v>
      </c>
      <c r="C192" t="s">
        <v>144</v>
      </c>
      <c r="D192" t="s">
        <v>48</v>
      </c>
      <c r="E192" t="s">
        <v>49</v>
      </c>
      <c r="F192" t="s">
        <v>50</v>
      </c>
      <c r="G192" t="s">
        <v>21</v>
      </c>
      <c r="H192" t="s">
        <v>52</v>
      </c>
      <c r="I192" t="s">
        <v>52</v>
      </c>
      <c r="J192" t="s">
        <v>51</v>
      </c>
      <c r="K192" t="s">
        <v>51</v>
      </c>
      <c r="L192" t="s">
        <v>68</v>
      </c>
      <c r="M192" t="s">
        <v>63</v>
      </c>
      <c r="N192" t="s">
        <v>63</v>
      </c>
      <c r="O192" t="s">
        <v>54</v>
      </c>
    </row>
    <row r="193" spans="1:15" x14ac:dyDescent="0.35">
      <c r="A193" t="s">
        <v>844</v>
      </c>
      <c r="B193" t="s">
        <v>735</v>
      </c>
      <c r="C193" t="s">
        <v>371</v>
      </c>
      <c r="D193" t="s">
        <v>48</v>
      </c>
      <c r="E193" t="s">
        <v>49</v>
      </c>
      <c r="F193" t="s">
        <v>50</v>
      </c>
      <c r="G193" t="s">
        <v>20</v>
      </c>
      <c r="H193" t="s">
        <v>52</v>
      </c>
      <c r="I193" t="s">
        <v>52</v>
      </c>
      <c r="J193" t="s">
        <v>52</v>
      </c>
      <c r="M193" t="s">
        <v>63</v>
      </c>
      <c r="N193" t="s">
        <v>63</v>
      </c>
      <c r="O193" t="s">
        <v>54</v>
      </c>
    </row>
    <row r="194" spans="1:15" x14ac:dyDescent="0.35">
      <c r="A194" t="s">
        <v>861</v>
      </c>
      <c r="B194" t="s">
        <v>759</v>
      </c>
      <c r="C194" t="s">
        <v>395</v>
      </c>
      <c r="D194" t="s">
        <v>48</v>
      </c>
      <c r="E194" t="s">
        <v>49</v>
      </c>
      <c r="F194" t="s">
        <v>50</v>
      </c>
      <c r="G194" t="s">
        <v>0</v>
      </c>
      <c r="H194" t="s">
        <v>52</v>
      </c>
      <c r="I194" t="s">
        <v>52</v>
      </c>
      <c r="J194" t="s">
        <v>52</v>
      </c>
      <c r="M194" t="s">
        <v>59</v>
      </c>
      <c r="N194" t="s">
        <v>59</v>
      </c>
      <c r="O194" t="s">
        <v>54</v>
      </c>
    </row>
    <row r="195" spans="1:15" hidden="1" x14ac:dyDescent="0.35">
      <c r="A195" t="s">
        <v>839</v>
      </c>
      <c r="B195" t="s">
        <v>597</v>
      </c>
      <c r="C195" t="s">
        <v>233</v>
      </c>
      <c r="D195" t="s">
        <v>48</v>
      </c>
      <c r="E195" t="s">
        <v>49</v>
      </c>
      <c r="F195" t="s">
        <v>55</v>
      </c>
      <c r="G195" t="s">
        <v>29</v>
      </c>
      <c r="H195" t="s">
        <v>52</v>
      </c>
      <c r="I195" t="s">
        <v>52</v>
      </c>
      <c r="J195" t="s">
        <v>51</v>
      </c>
      <c r="M195" t="s">
        <v>59</v>
      </c>
      <c r="N195" t="s">
        <v>59</v>
      </c>
      <c r="O195" t="s">
        <v>54</v>
      </c>
    </row>
    <row r="196" spans="1:15" hidden="1" x14ac:dyDescent="0.35">
      <c r="A196" t="s">
        <v>829</v>
      </c>
      <c r="B196" t="s">
        <v>583</v>
      </c>
      <c r="C196" t="s">
        <v>219</v>
      </c>
      <c r="D196" t="s">
        <v>48</v>
      </c>
      <c r="E196" t="s">
        <v>49</v>
      </c>
      <c r="F196" t="s">
        <v>55</v>
      </c>
      <c r="G196" t="s">
        <v>5</v>
      </c>
      <c r="H196" t="s">
        <v>52</v>
      </c>
      <c r="I196" t="s">
        <v>52</v>
      </c>
      <c r="J196" t="s">
        <v>51</v>
      </c>
      <c r="M196" t="s">
        <v>56</v>
      </c>
      <c r="N196" t="s">
        <v>56</v>
      </c>
      <c r="O196" t="s">
        <v>54</v>
      </c>
    </row>
    <row r="197" spans="1:15" hidden="1" x14ac:dyDescent="0.35">
      <c r="A197" t="s">
        <v>896</v>
      </c>
      <c r="B197" t="s">
        <v>513</v>
      </c>
      <c r="C197" t="s">
        <v>149</v>
      </c>
      <c r="D197" t="s">
        <v>48</v>
      </c>
      <c r="E197" t="s">
        <v>49</v>
      </c>
      <c r="F197" t="s">
        <v>55</v>
      </c>
      <c r="G197" t="s">
        <v>9</v>
      </c>
      <c r="H197" t="s">
        <v>52</v>
      </c>
      <c r="I197" t="s">
        <v>52</v>
      </c>
      <c r="J197" t="s">
        <v>52</v>
      </c>
      <c r="M197" t="s">
        <v>69</v>
      </c>
      <c r="N197" t="s">
        <v>69</v>
      </c>
      <c r="O197" t="s">
        <v>54</v>
      </c>
    </row>
    <row r="198" spans="1:15" hidden="1" x14ac:dyDescent="0.35">
      <c r="A198" t="s">
        <v>833</v>
      </c>
      <c r="B198" t="s">
        <v>500</v>
      </c>
      <c r="C198" t="s">
        <v>136</v>
      </c>
      <c r="D198" t="s">
        <v>48</v>
      </c>
      <c r="E198" t="s">
        <v>49</v>
      </c>
      <c r="F198" t="s">
        <v>55</v>
      </c>
      <c r="G198" t="s">
        <v>5</v>
      </c>
      <c r="H198" t="s">
        <v>52</v>
      </c>
      <c r="I198" t="s">
        <v>52</v>
      </c>
      <c r="J198" t="s">
        <v>52</v>
      </c>
      <c r="M198" t="s">
        <v>59</v>
      </c>
      <c r="N198" t="s">
        <v>59</v>
      </c>
      <c r="O198" t="s">
        <v>54</v>
      </c>
    </row>
    <row r="199" spans="1:15" hidden="1" x14ac:dyDescent="0.35">
      <c r="A199" t="s">
        <v>891</v>
      </c>
      <c r="B199" t="s">
        <v>580</v>
      </c>
      <c r="C199" t="s">
        <v>216</v>
      </c>
      <c r="D199" t="s">
        <v>48</v>
      </c>
      <c r="E199" t="s">
        <v>49</v>
      </c>
      <c r="F199" t="s">
        <v>55</v>
      </c>
      <c r="G199" t="s">
        <v>7</v>
      </c>
      <c r="H199" t="s">
        <v>52</v>
      </c>
      <c r="I199" t="s">
        <v>52</v>
      </c>
      <c r="J199" t="s">
        <v>52</v>
      </c>
      <c r="M199" t="s">
        <v>63</v>
      </c>
      <c r="N199" t="s">
        <v>63</v>
      </c>
      <c r="O199" t="s">
        <v>54</v>
      </c>
    </row>
    <row r="200" spans="1:15" x14ac:dyDescent="0.35">
      <c r="A200" t="s">
        <v>882</v>
      </c>
      <c r="B200" t="s">
        <v>503</v>
      </c>
      <c r="C200" t="s">
        <v>139</v>
      </c>
      <c r="D200" t="s">
        <v>48</v>
      </c>
      <c r="E200" t="s">
        <v>49</v>
      </c>
      <c r="F200" t="s">
        <v>50</v>
      </c>
      <c r="G200" t="s">
        <v>5</v>
      </c>
      <c r="H200" t="s">
        <v>52</v>
      </c>
      <c r="I200" t="s">
        <v>52</v>
      </c>
      <c r="J200" t="s">
        <v>51</v>
      </c>
      <c r="K200" t="s">
        <v>58</v>
      </c>
      <c r="M200" t="s">
        <v>56</v>
      </c>
      <c r="N200" t="s">
        <v>56</v>
      </c>
      <c r="O200" t="s">
        <v>54</v>
      </c>
    </row>
    <row r="201" spans="1:15" x14ac:dyDescent="0.35">
      <c r="A201" t="s">
        <v>850</v>
      </c>
      <c r="B201" t="s">
        <v>815</v>
      </c>
      <c r="C201" t="s">
        <v>451</v>
      </c>
      <c r="D201" t="s">
        <v>48</v>
      </c>
      <c r="E201" t="s">
        <v>49</v>
      </c>
      <c r="F201" t="s">
        <v>50</v>
      </c>
      <c r="G201" t="s">
        <v>26</v>
      </c>
      <c r="H201" t="s">
        <v>51</v>
      </c>
      <c r="I201" t="s">
        <v>52</v>
      </c>
      <c r="J201" t="s">
        <v>52</v>
      </c>
      <c r="M201" t="s">
        <v>57</v>
      </c>
      <c r="N201" t="s">
        <v>57</v>
      </c>
      <c r="O201" t="s">
        <v>54</v>
      </c>
    </row>
    <row r="202" spans="1:15" x14ac:dyDescent="0.35">
      <c r="A202" t="s">
        <v>864</v>
      </c>
      <c r="B202" t="s">
        <v>468</v>
      </c>
      <c r="C202" t="s">
        <v>104</v>
      </c>
      <c r="D202" t="s">
        <v>48</v>
      </c>
      <c r="E202" t="s">
        <v>49</v>
      </c>
      <c r="F202" t="s">
        <v>50</v>
      </c>
      <c r="G202" t="s">
        <v>5</v>
      </c>
      <c r="H202" t="s">
        <v>51</v>
      </c>
      <c r="I202" t="s">
        <v>52</v>
      </c>
      <c r="J202" t="s">
        <v>51</v>
      </c>
      <c r="K202" t="s">
        <v>58</v>
      </c>
      <c r="M202" t="s">
        <v>57</v>
      </c>
      <c r="N202" t="s">
        <v>57</v>
      </c>
      <c r="O202" t="s">
        <v>54</v>
      </c>
    </row>
    <row r="203" spans="1:15" x14ac:dyDescent="0.35">
      <c r="A203" t="s">
        <v>864</v>
      </c>
      <c r="B203" t="s">
        <v>623</v>
      </c>
      <c r="C203" t="s">
        <v>259</v>
      </c>
      <c r="D203" t="s">
        <v>48</v>
      </c>
      <c r="E203" t="s">
        <v>49</v>
      </c>
      <c r="F203" t="s">
        <v>50</v>
      </c>
      <c r="G203" t="s">
        <v>26</v>
      </c>
      <c r="H203" t="s">
        <v>52</v>
      </c>
      <c r="I203" t="s">
        <v>52</v>
      </c>
      <c r="J203" t="s">
        <v>52</v>
      </c>
      <c r="M203" t="s">
        <v>57</v>
      </c>
      <c r="N203" t="s">
        <v>57</v>
      </c>
      <c r="O203" t="s">
        <v>54</v>
      </c>
    </row>
    <row r="204" spans="1:15" hidden="1" x14ac:dyDescent="0.35">
      <c r="A204" t="s">
        <v>837</v>
      </c>
      <c r="B204" t="s">
        <v>734</v>
      </c>
      <c r="C204" t="s">
        <v>370</v>
      </c>
      <c r="D204" t="s">
        <v>48</v>
      </c>
      <c r="E204" t="s">
        <v>49</v>
      </c>
      <c r="F204" t="s">
        <v>55</v>
      </c>
      <c r="G204" t="s">
        <v>5</v>
      </c>
      <c r="H204" t="s">
        <v>52</v>
      </c>
      <c r="I204" t="s">
        <v>52</v>
      </c>
      <c r="J204" t="s">
        <v>52</v>
      </c>
      <c r="M204" t="s">
        <v>63</v>
      </c>
      <c r="N204" t="s">
        <v>63</v>
      </c>
      <c r="O204" t="s">
        <v>54</v>
      </c>
    </row>
    <row r="205" spans="1:15" hidden="1" x14ac:dyDescent="0.35">
      <c r="A205" t="s">
        <v>893</v>
      </c>
      <c r="B205" t="s">
        <v>752</v>
      </c>
      <c r="C205" t="s">
        <v>388</v>
      </c>
      <c r="D205" t="s">
        <v>48</v>
      </c>
      <c r="E205" t="s">
        <v>49</v>
      </c>
      <c r="F205" t="s">
        <v>55</v>
      </c>
      <c r="G205" t="s">
        <v>16</v>
      </c>
      <c r="H205" t="s">
        <v>52</v>
      </c>
      <c r="I205" t="s">
        <v>52</v>
      </c>
      <c r="J205" t="s">
        <v>52</v>
      </c>
      <c r="M205" t="s">
        <v>67</v>
      </c>
      <c r="N205" t="s">
        <v>67</v>
      </c>
      <c r="O205" t="s">
        <v>54</v>
      </c>
    </row>
    <row r="206" spans="1:15" x14ac:dyDescent="0.35">
      <c r="A206" t="s">
        <v>873</v>
      </c>
      <c r="B206" t="s">
        <v>477</v>
      </c>
      <c r="C206" t="s">
        <v>113</v>
      </c>
      <c r="D206" t="s">
        <v>48</v>
      </c>
      <c r="E206" t="s">
        <v>49</v>
      </c>
      <c r="F206" t="s">
        <v>50</v>
      </c>
      <c r="G206" t="s">
        <v>29</v>
      </c>
      <c r="H206" t="s">
        <v>52</v>
      </c>
      <c r="I206" t="s">
        <v>64</v>
      </c>
      <c r="J206" t="s">
        <v>52</v>
      </c>
      <c r="M206" t="s">
        <v>57</v>
      </c>
      <c r="N206" t="s">
        <v>57</v>
      </c>
      <c r="O206" t="s">
        <v>54</v>
      </c>
    </row>
    <row r="207" spans="1:15" hidden="1" x14ac:dyDescent="0.35">
      <c r="A207" t="s">
        <v>849</v>
      </c>
      <c r="B207" t="s">
        <v>671</v>
      </c>
      <c r="C207" t="s">
        <v>307</v>
      </c>
      <c r="D207" t="s">
        <v>48</v>
      </c>
      <c r="E207" t="s">
        <v>49</v>
      </c>
      <c r="F207" t="s">
        <v>55</v>
      </c>
      <c r="G207" t="s">
        <v>12</v>
      </c>
      <c r="H207" t="s">
        <v>51</v>
      </c>
      <c r="I207" t="s">
        <v>52</v>
      </c>
      <c r="J207" t="s">
        <v>51</v>
      </c>
      <c r="K207" t="s">
        <v>51</v>
      </c>
      <c r="M207" t="s">
        <v>59</v>
      </c>
      <c r="N207" t="s">
        <v>59</v>
      </c>
      <c r="O207" t="s">
        <v>54</v>
      </c>
    </row>
    <row r="208" spans="1:15" x14ac:dyDescent="0.35">
      <c r="A208" t="s">
        <v>841</v>
      </c>
      <c r="B208" t="s">
        <v>535</v>
      </c>
      <c r="C208" t="s">
        <v>171</v>
      </c>
      <c r="D208" t="s">
        <v>48</v>
      </c>
      <c r="E208" t="s">
        <v>49</v>
      </c>
      <c r="F208" t="s">
        <v>50</v>
      </c>
      <c r="G208" t="s">
        <v>5</v>
      </c>
      <c r="H208" t="s">
        <v>52</v>
      </c>
      <c r="I208" t="s">
        <v>52</v>
      </c>
      <c r="J208" t="s">
        <v>52</v>
      </c>
      <c r="M208" t="s">
        <v>57</v>
      </c>
      <c r="N208" t="s">
        <v>57</v>
      </c>
      <c r="O208" t="s">
        <v>54</v>
      </c>
    </row>
    <row r="209" spans="1:15" x14ac:dyDescent="0.35">
      <c r="A209" t="s">
        <v>901</v>
      </c>
      <c r="B209" t="s">
        <v>772</v>
      </c>
      <c r="C209" t="s">
        <v>408</v>
      </c>
      <c r="D209" t="s">
        <v>48</v>
      </c>
      <c r="E209" t="s">
        <v>49</v>
      </c>
      <c r="F209" t="s">
        <v>50</v>
      </c>
      <c r="G209" t="s">
        <v>9</v>
      </c>
      <c r="H209" t="s">
        <v>52</v>
      </c>
      <c r="I209" t="s">
        <v>52</v>
      </c>
      <c r="J209" t="s">
        <v>52</v>
      </c>
      <c r="M209" t="s">
        <v>61</v>
      </c>
      <c r="N209" t="s">
        <v>61</v>
      </c>
      <c r="O209" t="s">
        <v>54</v>
      </c>
    </row>
    <row r="210" spans="1:15" x14ac:dyDescent="0.35">
      <c r="A210" t="s">
        <v>841</v>
      </c>
      <c r="B210" t="s">
        <v>566</v>
      </c>
      <c r="C210" t="s">
        <v>202</v>
      </c>
      <c r="D210" t="s">
        <v>48</v>
      </c>
      <c r="E210" t="s">
        <v>49</v>
      </c>
      <c r="F210" t="s">
        <v>50</v>
      </c>
      <c r="G210" t="s">
        <v>9</v>
      </c>
      <c r="H210" t="s">
        <v>52</v>
      </c>
      <c r="I210" t="s">
        <v>52</v>
      </c>
      <c r="J210" t="s">
        <v>52</v>
      </c>
      <c r="M210" t="s">
        <v>57</v>
      </c>
      <c r="N210" t="s">
        <v>57</v>
      </c>
      <c r="O210" t="s">
        <v>54</v>
      </c>
    </row>
    <row r="211" spans="1:15" x14ac:dyDescent="0.35">
      <c r="A211" t="s">
        <v>901</v>
      </c>
      <c r="B211" t="s">
        <v>802</v>
      </c>
      <c r="C211" t="s">
        <v>438</v>
      </c>
      <c r="D211" t="s">
        <v>48</v>
      </c>
      <c r="E211" t="s">
        <v>49</v>
      </c>
      <c r="F211" t="s">
        <v>50</v>
      </c>
      <c r="G211" t="s">
        <v>5</v>
      </c>
      <c r="H211" t="s">
        <v>52</v>
      </c>
      <c r="I211" t="s">
        <v>52</v>
      </c>
      <c r="J211" t="s">
        <v>52</v>
      </c>
      <c r="M211" t="s">
        <v>61</v>
      </c>
      <c r="N211" t="s">
        <v>61</v>
      </c>
      <c r="O211" t="s">
        <v>54</v>
      </c>
    </row>
    <row r="212" spans="1:15" hidden="1" x14ac:dyDescent="0.35">
      <c r="A212" t="s">
        <v>830</v>
      </c>
      <c r="B212" t="s">
        <v>575</v>
      </c>
      <c r="C212" t="s">
        <v>211</v>
      </c>
      <c r="D212" t="s">
        <v>48</v>
      </c>
      <c r="E212" t="s">
        <v>49</v>
      </c>
      <c r="F212" t="s">
        <v>55</v>
      </c>
      <c r="G212" t="s">
        <v>8</v>
      </c>
      <c r="H212" t="s">
        <v>52</v>
      </c>
      <c r="I212" t="s">
        <v>60</v>
      </c>
      <c r="J212" t="s">
        <v>52</v>
      </c>
      <c r="M212" t="s">
        <v>56</v>
      </c>
      <c r="N212" t="s">
        <v>56</v>
      </c>
      <c r="O212" t="s">
        <v>54</v>
      </c>
    </row>
    <row r="213" spans="1:15" x14ac:dyDescent="0.35">
      <c r="A213" t="s">
        <v>832</v>
      </c>
      <c r="B213" t="s">
        <v>620</v>
      </c>
      <c r="C213" t="s">
        <v>256</v>
      </c>
      <c r="D213" t="s">
        <v>48</v>
      </c>
      <c r="E213" t="s">
        <v>49</v>
      </c>
      <c r="F213" t="s">
        <v>50</v>
      </c>
      <c r="G213" t="s">
        <v>29</v>
      </c>
      <c r="H213" t="s">
        <v>52</v>
      </c>
      <c r="I213" t="s">
        <v>52</v>
      </c>
      <c r="J213" t="s">
        <v>52</v>
      </c>
      <c r="M213" t="s">
        <v>59</v>
      </c>
      <c r="N213" t="s">
        <v>59</v>
      </c>
      <c r="O213" t="s">
        <v>54</v>
      </c>
    </row>
    <row r="214" spans="1:15" x14ac:dyDescent="0.35">
      <c r="A214" t="s">
        <v>854</v>
      </c>
      <c r="B214" t="s">
        <v>816</v>
      </c>
      <c r="C214" t="s">
        <v>452</v>
      </c>
      <c r="D214" t="s">
        <v>48</v>
      </c>
      <c r="E214" t="s">
        <v>49</v>
      </c>
      <c r="F214" t="s">
        <v>50</v>
      </c>
      <c r="G214" t="s">
        <v>5</v>
      </c>
      <c r="H214" t="s">
        <v>52</v>
      </c>
      <c r="I214" t="s">
        <v>52</v>
      </c>
      <c r="J214" t="s">
        <v>52</v>
      </c>
      <c r="M214" t="s">
        <v>69</v>
      </c>
      <c r="N214" t="s">
        <v>69</v>
      </c>
      <c r="O214" t="s">
        <v>54</v>
      </c>
    </row>
    <row r="215" spans="1:15" hidden="1" x14ac:dyDescent="0.35">
      <c r="A215" t="s">
        <v>893</v>
      </c>
      <c r="B215" t="s">
        <v>682</v>
      </c>
      <c r="C215" t="s">
        <v>318</v>
      </c>
      <c r="D215" t="s">
        <v>48</v>
      </c>
      <c r="E215" t="s">
        <v>49</v>
      </c>
      <c r="F215" t="s">
        <v>55</v>
      </c>
      <c r="G215" t="s">
        <v>21</v>
      </c>
      <c r="H215" t="s">
        <v>52</v>
      </c>
      <c r="I215" t="s">
        <v>52</v>
      </c>
      <c r="J215" t="s">
        <v>52</v>
      </c>
      <c r="M215" t="s">
        <v>67</v>
      </c>
      <c r="N215" t="s">
        <v>67</v>
      </c>
      <c r="O215" t="s">
        <v>54</v>
      </c>
    </row>
    <row r="216" spans="1:15" hidden="1" x14ac:dyDescent="0.35">
      <c r="A216" t="s">
        <v>917</v>
      </c>
      <c r="B216" t="s">
        <v>822</v>
      </c>
      <c r="C216" t="s">
        <v>458</v>
      </c>
      <c r="D216" t="s">
        <v>48</v>
      </c>
      <c r="E216" t="s">
        <v>49</v>
      </c>
      <c r="F216" t="s">
        <v>55</v>
      </c>
      <c r="G216" t="s">
        <v>0</v>
      </c>
      <c r="H216" t="s">
        <v>52</v>
      </c>
      <c r="I216" t="s">
        <v>52</v>
      </c>
      <c r="J216" t="s">
        <v>51</v>
      </c>
      <c r="K216" t="s">
        <v>51</v>
      </c>
      <c r="M216" t="s">
        <v>75</v>
      </c>
      <c r="N216" t="s">
        <v>75</v>
      </c>
      <c r="O216" t="s">
        <v>54</v>
      </c>
    </row>
    <row r="217" spans="1:15" hidden="1" x14ac:dyDescent="0.35">
      <c r="A217" t="s">
        <v>842</v>
      </c>
      <c r="B217" t="s">
        <v>730</v>
      </c>
      <c r="C217" t="s">
        <v>366</v>
      </c>
      <c r="D217" t="s">
        <v>48</v>
      </c>
      <c r="E217" t="s">
        <v>49</v>
      </c>
      <c r="F217" t="s">
        <v>55</v>
      </c>
      <c r="G217" t="s">
        <v>9</v>
      </c>
      <c r="H217" t="s">
        <v>52</v>
      </c>
      <c r="I217" t="s">
        <v>60</v>
      </c>
      <c r="J217" t="s">
        <v>52</v>
      </c>
      <c r="M217" t="s">
        <v>57</v>
      </c>
      <c r="N217" t="s">
        <v>57</v>
      </c>
      <c r="O217" t="s">
        <v>54</v>
      </c>
    </row>
    <row r="218" spans="1:15" hidden="1" x14ac:dyDescent="0.35">
      <c r="A218" t="s">
        <v>862</v>
      </c>
      <c r="B218" t="s">
        <v>813</v>
      </c>
      <c r="C218" t="s">
        <v>449</v>
      </c>
      <c r="D218" t="s">
        <v>48</v>
      </c>
      <c r="E218" t="s">
        <v>49</v>
      </c>
      <c r="F218" t="s">
        <v>55</v>
      </c>
      <c r="G218" t="s">
        <v>9</v>
      </c>
      <c r="H218" t="s">
        <v>52</v>
      </c>
      <c r="I218" t="s">
        <v>52</v>
      </c>
      <c r="J218" t="s">
        <v>51</v>
      </c>
      <c r="K218" t="s">
        <v>58</v>
      </c>
      <c r="M218" t="s">
        <v>67</v>
      </c>
      <c r="N218" t="s">
        <v>67</v>
      </c>
      <c r="O218" t="s">
        <v>54</v>
      </c>
    </row>
    <row r="219" spans="1:15" hidden="1" x14ac:dyDescent="0.35">
      <c r="A219" t="s">
        <v>851</v>
      </c>
      <c r="B219" t="s">
        <v>704</v>
      </c>
      <c r="C219" t="s">
        <v>340</v>
      </c>
      <c r="D219" t="s">
        <v>48</v>
      </c>
      <c r="E219" t="s">
        <v>49</v>
      </c>
      <c r="F219" t="s">
        <v>55</v>
      </c>
      <c r="G219" t="s">
        <v>0</v>
      </c>
      <c r="H219" t="s">
        <v>52</v>
      </c>
      <c r="I219" t="s">
        <v>52</v>
      </c>
      <c r="J219" t="s">
        <v>52</v>
      </c>
      <c r="M219" t="s">
        <v>67</v>
      </c>
      <c r="N219" t="s">
        <v>67</v>
      </c>
      <c r="O219" t="s">
        <v>54</v>
      </c>
    </row>
    <row r="220" spans="1:15" hidden="1" x14ac:dyDescent="0.35">
      <c r="A220" t="s">
        <v>918</v>
      </c>
      <c r="B220" t="s">
        <v>594</v>
      </c>
      <c r="C220" t="s">
        <v>230</v>
      </c>
      <c r="D220" t="s">
        <v>48</v>
      </c>
      <c r="E220" t="s">
        <v>49</v>
      </c>
      <c r="F220" t="s">
        <v>55</v>
      </c>
      <c r="G220" t="s">
        <v>18</v>
      </c>
      <c r="H220" t="s">
        <v>52</v>
      </c>
      <c r="I220" t="s">
        <v>60</v>
      </c>
      <c r="J220" t="s">
        <v>51</v>
      </c>
      <c r="M220" t="s">
        <v>66</v>
      </c>
      <c r="N220" t="s">
        <v>66</v>
      </c>
      <c r="O220" t="s">
        <v>54</v>
      </c>
    </row>
    <row r="221" spans="1:15" hidden="1" x14ac:dyDescent="0.35">
      <c r="A221" t="s">
        <v>845</v>
      </c>
      <c r="B221" t="s">
        <v>467</v>
      </c>
      <c r="C221" t="s">
        <v>103</v>
      </c>
      <c r="D221" t="s">
        <v>48</v>
      </c>
      <c r="E221" t="s">
        <v>49</v>
      </c>
      <c r="F221" t="s">
        <v>55</v>
      </c>
      <c r="G221" t="s">
        <v>30</v>
      </c>
      <c r="H221" t="s">
        <v>52</v>
      </c>
      <c r="I221" t="s">
        <v>52</v>
      </c>
      <c r="J221" t="s">
        <v>51</v>
      </c>
      <c r="M221" t="s">
        <v>57</v>
      </c>
      <c r="N221" t="s">
        <v>57</v>
      </c>
      <c r="O221" t="s">
        <v>54</v>
      </c>
    </row>
    <row r="222" spans="1:15" hidden="1" x14ac:dyDescent="0.35">
      <c r="A222" t="s">
        <v>898</v>
      </c>
      <c r="B222" t="s">
        <v>796</v>
      </c>
      <c r="C222" t="s">
        <v>432</v>
      </c>
      <c r="D222" t="s">
        <v>48</v>
      </c>
      <c r="E222" t="s">
        <v>49</v>
      </c>
      <c r="F222" t="s">
        <v>55</v>
      </c>
      <c r="G222" t="s">
        <v>9</v>
      </c>
      <c r="H222" t="s">
        <v>52</v>
      </c>
      <c r="I222" t="s">
        <v>52</v>
      </c>
      <c r="J222" t="s">
        <v>51</v>
      </c>
      <c r="L222" t="s">
        <v>68</v>
      </c>
      <c r="M222" t="s">
        <v>61</v>
      </c>
      <c r="N222" t="s">
        <v>61</v>
      </c>
      <c r="O222" t="s">
        <v>54</v>
      </c>
    </row>
    <row r="223" spans="1:15" hidden="1" x14ac:dyDescent="0.35">
      <c r="A223" t="s">
        <v>830</v>
      </c>
      <c r="B223" t="s">
        <v>713</v>
      </c>
      <c r="C223" t="s">
        <v>349</v>
      </c>
      <c r="D223" t="s">
        <v>48</v>
      </c>
      <c r="E223" t="s">
        <v>49</v>
      </c>
      <c r="F223" t="s">
        <v>55</v>
      </c>
      <c r="G223" t="s">
        <v>5</v>
      </c>
      <c r="H223" t="s">
        <v>52</v>
      </c>
      <c r="I223" t="s">
        <v>52</v>
      </c>
      <c r="J223" t="s">
        <v>51</v>
      </c>
      <c r="M223" t="s">
        <v>56</v>
      </c>
      <c r="N223" t="s">
        <v>56</v>
      </c>
      <c r="O223" t="s">
        <v>54</v>
      </c>
    </row>
    <row r="224" spans="1:15" x14ac:dyDescent="0.35">
      <c r="A224" t="s">
        <v>863</v>
      </c>
      <c r="B224" t="s">
        <v>572</v>
      </c>
      <c r="C224" t="s">
        <v>208</v>
      </c>
      <c r="D224" t="s">
        <v>48</v>
      </c>
      <c r="E224" t="s">
        <v>49</v>
      </c>
      <c r="F224" t="s">
        <v>50</v>
      </c>
      <c r="G224" t="s">
        <v>26</v>
      </c>
      <c r="H224" t="s">
        <v>52</v>
      </c>
      <c r="I224" t="s">
        <v>64</v>
      </c>
      <c r="J224" t="s">
        <v>52</v>
      </c>
      <c r="M224" t="s">
        <v>56</v>
      </c>
      <c r="N224" t="s">
        <v>56</v>
      </c>
      <c r="O224" t="s">
        <v>54</v>
      </c>
    </row>
    <row r="225" spans="1:15" x14ac:dyDescent="0.35">
      <c r="A225" t="s">
        <v>870</v>
      </c>
      <c r="B225" t="s">
        <v>639</v>
      </c>
      <c r="C225" t="s">
        <v>275</v>
      </c>
      <c r="D225" t="s">
        <v>48</v>
      </c>
      <c r="E225" t="s">
        <v>49</v>
      </c>
      <c r="F225" t="s">
        <v>50</v>
      </c>
      <c r="G225" t="s">
        <v>9</v>
      </c>
      <c r="H225" t="s">
        <v>52</v>
      </c>
      <c r="I225" t="s">
        <v>52</v>
      </c>
      <c r="J225" t="s">
        <v>52</v>
      </c>
      <c r="M225" t="s">
        <v>67</v>
      </c>
      <c r="N225" t="s">
        <v>67</v>
      </c>
      <c r="O225" t="s">
        <v>54</v>
      </c>
    </row>
    <row r="226" spans="1:15" x14ac:dyDescent="0.35">
      <c r="A226" t="s">
        <v>877</v>
      </c>
      <c r="B226" t="s">
        <v>642</v>
      </c>
      <c r="C226" t="s">
        <v>278</v>
      </c>
      <c r="D226" t="s">
        <v>48</v>
      </c>
      <c r="E226" t="s">
        <v>49</v>
      </c>
      <c r="F226" t="s">
        <v>50</v>
      </c>
      <c r="G226" t="s">
        <v>5</v>
      </c>
      <c r="H226" t="s">
        <v>52</v>
      </c>
      <c r="I226" t="s">
        <v>52</v>
      </c>
      <c r="J226" t="s">
        <v>51</v>
      </c>
      <c r="K226" t="s">
        <v>51</v>
      </c>
      <c r="L226" t="s">
        <v>76</v>
      </c>
      <c r="M226" t="s">
        <v>63</v>
      </c>
      <c r="N226" t="s">
        <v>63</v>
      </c>
      <c r="O226" t="s">
        <v>54</v>
      </c>
    </row>
    <row r="227" spans="1:15" hidden="1" x14ac:dyDescent="0.35">
      <c r="A227" t="s">
        <v>849</v>
      </c>
      <c r="B227" t="s">
        <v>538</v>
      </c>
      <c r="C227" t="s">
        <v>174</v>
      </c>
      <c r="D227" t="s">
        <v>48</v>
      </c>
      <c r="E227" t="s">
        <v>49</v>
      </c>
      <c r="F227" t="s">
        <v>55</v>
      </c>
      <c r="G227" t="s">
        <v>5</v>
      </c>
      <c r="H227" t="s">
        <v>52</v>
      </c>
      <c r="I227" t="s">
        <v>52</v>
      </c>
      <c r="J227" t="s">
        <v>52</v>
      </c>
      <c r="M227" t="s">
        <v>59</v>
      </c>
      <c r="N227" t="s">
        <v>59</v>
      </c>
      <c r="O227" t="s">
        <v>54</v>
      </c>
    </row>
    <row r="228" spans="1:15" x14ac:dyDescent="0.35">
      <c r="A228" t="s">
        <v>919</v>
      </c>
      <c r="B228" t="s">
        <v>731</v>
      </c>
      <c r="C228" t="s">
        <v>367</v>
      </c>
      <c r="D228" t="s">
        <v>48</v>
      </c>
      <c r="E228" t="s">
        <v>49</v>
      </c>
      <c r="F228" t="s">
        <v>50</v>
      </c>
      <c r="G228" t="s">
        <v>5</v>
      </c>
      <c r="H228" t="s">
        <v>51</v>
      </c>
      <c r="I228" t="s">
        <v>52</v>
      </c>
      <c r="J228" t="s">
        <v>51</v>
      </c>
      <c r="K228" t="s">
        <v>51</v>
      </c>
      <c r="M228" t="s">
        <v>59</v>
      </c>
      <c r="N228" t="s">
        <v>59</v>
      </c>
      <c r="O228" t="s">
        <v>54</v>
      </c>
    </row>
    <row r="229" spans="1:15" x14ac:dyDescent="0.35">
      <c r="A229" t="s">
        <v>920</v>
      </c>
      <c r="B229" t="s">
        <v>733</v>
      </c>
      <c r="C229" t="s">
        <v>369</v>
      </c>
      <c r="D229" t="s">
        <v>48</v>
      </c>
      <c r="E229" t="s">
        <v>49</v>
      </c>
      <c r="F229" t="s">
        <v>50</v>
      </c>
      <c r="G229" t="s">
        <v>9</v>
      </c>
      <c r="H229" t="s">
        <v>52</v>
      </c>
      <c r="I229" t="s">
        <v>60</v>
      </c>
      <c r="J229" t="s">
        <v>52</v>
      </c>
      <c r="M229" t="s">
        <v>90</v>
      </c>
      <c r="N229" t="s">
        <v>90</v>
      </c>
      <c r="O229" t="s">
        <v>54</v>
      </c>
    </row>
    <row r="230" spans="1:15" hidden="1" x14ac:dyDescent="0.35">
      <c r="A230" t="s">
        <v>872</v>
      </c>
      <c r="B230" t="s">
        <v>622</v>
      </c>
      <c r="C230" t="s">
        <v>258</v>
      </c>
      <c r="D230" t="s">
        <v>48</v>
      </c>
      <c r="E230" t="s">
        <v>49</v>
      </c>
      <c r="F230" t="s">
        <v>55</v>
      </c>
      <c r="G230" t="s">
        <v>1</v>
      </c>
      <c r="H230" t="s">
        <v>52</v>
      </c>
      <c r="I230" t="s">
        <v>52</v>
      </c>
      <c r="J230" t="s">
        <v>52</v>
      </c>
      <c r="M230" t="s">
        <v>57</v>
      </c>
      <c r="N230" t="s">
        <v>57</v>
      </c>
      <c r="O230" t="s">
        <v>54</v>
      </c>
    </row>
    <row r="231" spans="1:15" hidden="1" x14ac:dyDescent="0.35">
      <c r="A231" t="s">
        <v>921</v>
      </c>
      <c r="B231" t="s">
        <v>614</v>
      </c>
      <c r="C231" t="s">
        <v>250</v>
      </c>
      <c r="D231" t="s">
        <v>48</v>
      </c>
      <c r="E231" t="s">
        <v>49</v>
      </c>
      <c r="F231" t="s">
        <v>55</v>
      </c>
      <c r="G231" t="s">
        <v>2</v>
      </c>
      <c r="H231" t="s">
        <v>52</v>
      </c>
      <c r="I231" t="s">
        <v>52</v>
      </c>
      <c r="J231" t="s">
        <v>51</v>
      </c>
      <c r="M231" t="s">
        <v>85</v>
      </c>
      <c r="N231" t="s">
        <v>85</v>
      </c>
      <c r="O231" t="s">
        <v>54</v>
      </c>
    </row>
    <row r="232" spans="1:15" x14ac:dyDescent="0.35">
      <c r="A232" t="s">
        <v>875</v>
      </c>
      <c r="B232" t="s">
        <v>634</v>
      </c>
      <c r="C232" t="s">
        <v>270</v>
      </c>
      <c r="D232" t="s">
        <v>48</v>
      </c>
      <c r="E232" t="s">
        <v>49</v>
      </c>
      <c r="F232" t="s">
        <v>50</v>
      </c>
      <c r="G232" t="s">
        <v>5</v>
      </c>
      <c r="H232" t="s">
        <v>52</v>
      </c>
      <c r="I232" t="s">
        <v>52</v>
      </c>
      <c r="J232" t="s">
        <v>52</v>
      </c>
      <c r="M232" t="s">
        <v>67</v>
      </c>
      <c r="N232" t="s">
        <v>67</v>
      </c>
      <c r="O232" t="s">
        <v>54</v>
      </c>
    </row>
    <row r="233" spans="1:15" x14ac:dyDescent="0.35">
      <c r="A233" t="s">
        <v>850</v>
      </c>
      <c r="B233" t="s">
        <v>717</v>
      </c>
      <c r="C233" t="s">
        <v>353</v>
      </c>
      <c r="D233" t="s">
        <v>48</v>
      </c>
      <c r="E233" t="s">
        <v>49</v>
      </c>
      <c r="F233" t="s">
        <v>50</v>
      </c>
      <c r="G233" t="s">
        <v>5</v>
      </c>
      <c r="H233" t="s">
        <v>52</v>
      </c>
      <c r="I233" t="s">
        <v>52</v>
      </c>
      <c r="J233" t="s">
        <v>52</v>
      </c>
      <c r="M233" t="s">
        <v>57</v>
      </c>
      <c r="N233" t="s">
        <v>57</v>
      </c>
      <c r="O233" t="s">
        <v>54</v>
      </c>
    </row>
    <row r="234" spans="1:15" hidden="1" x14ac:dyDescent="0.35">
      <c r="A234" t="s">
        <v>889</v>
      </c>
      <c r="B234" t="s">
        <v>524</v>
      </c>
      <c r="C234" t="s">
        <v>160</v>
      </c>
      <c r="D234" t="s">
        <v>48</v>
      </c>
      <c r="E234" t="s">
        <v>49</v>
      </c>
      <c r="F234" t="s">
        <v>55</v>
      </c>
      <c r="G234" t="s">
        <v>7</v>
      </c>
      <c r="H234" t="s">
        <v>51</v>
      </c>
      <c r="I234" t="s">
        <v>52</v>
      </c>
      <c r="J234" t="s">
        <v>51</v>
      </c>
      <c r="K234" t="s">
        <v>51</v>
      </c>
      <c r="M234" t="s">
        <v>59</v>
      </c>
      <c r="N234" t="s">
        <v>59</v>
      </c>
      <c r="O234" t="s">
        <v>54</v>
      </c>
    </row>
    <row r="235" spans="1:15" x14ac:dyDescent="0.35">
      <c r="A235" t="s">
        <v>843</v>
      </c>
      <c r="B235" t="s">
        <v>720</v>
      </c>
      <c r="C235" t="s">
        <v>356</v>
      </c>
      <c r="D235" t="s">
        <v>48</v>
      </c>
      <c r="E235" t="s">
        <v>49</v>
      </c>
      <c r="F235" t="s">
        <v>50</v>
      </c>
      <c r="G235" t="s">
        <v>5</v>
      </c>
      <c r="H235" t="s">
        <v>51</v>
      </c>
      <c r="I235" t="s">
        <v>52</v>
      </c>
      <c r="J235" t="s">
        <v>51</v>
      </c>
      <c r="K235" t="s">
        <v>51</v>
      </c>
      <c r="M235" t="s">
        <v>67</v>
      </c>
      <c r="N235" t="s">
        <v>67</v>
      </c>
      <c r="O235" t="s">
        <v>54</v>
      </c>
    </row>
    <row r="236" spans="1:15" hidden="1" x14ac:dyDescent="0.35">
      <c r="A236" t="s">
        <v>876</v>
      </c>
      <c r="B236" t="s">
        <v>549</v>
      </c>
      <c r="C236" t="s">
        <v>185</v>
      </c>
      <c r="D236" t="s">
        <v>48</v>
      </c>
      <c r="E236" t="s">
        <v>49</v>
      </c>
      <c r="F236" t="s">
        <v>55</v>
      </c>
      <c r="G236" t="s">
        <v>5</v>
      </c>
      <c r="H236" t="s">
        <v>52</v>
      </c>
      <c r="I236" t="s">
        <v>52</v>
      </c>
      <c r="J236" t="s">
        <v>52</v>
      </c>
      <c r="M236" t="s">
        <v>63</v>
      </c>
      <c r="N236" t="s">
        <v>63</v>
      </c>
      <c r="O236" t="s">
        <v>54</v>
      </c>
    </row>
    <row r="237" spans="1:15" x14ac:dyDescent="0.35">
      <c r="A237" t="s">
        <v>850</v>
      </c>
      <c r="B237" t="s">
        <v>523</v>
      </c>
      <c r="C237" t="s">
        <v>159</v>
      </c>
      <c r="D237" t="s">
        <v>48</v>
      </c>
      <c r="E237" t="s">
        <v>49</v>
      </c>
      <c r="F237" t="s">
        <v>50</v>
      </c>
      <c r="G237" t="s">
        <v>26</v>
      </c>
      <c r="H237" t="s">
        <v>51</v>
      </c>
      <c r="I237" t="s">
        <v>52</v>
      </c>
      <c r="J237" t="s">
        <v>52</v>
      </c>
      <c r="M237" t="s">
        <v>57</v>
      </c>
      <c r="N237" t="s">
        <v>57</v>
      </c>
      <c r="O237" t="s">
        <v>54</v>
      </c>
    </row>
    <row r="238" spans="1:15" x14ac:dyDescent="0.35">
      <c r="A238" t="s">
        <v>877</v>
      </c>
      <c r="B238" t="s">
        <v>542</v>
      </c>
      <c r="C238" t="s">
        <v>178</v>
      </c>
      <c r="D238" t="s">
        <v>48</v>
      </c>
      <c r="E238" t="s">
        <v>49</v>
      </c>
      <c r="F238" t="s">
        <v>50</v>
      </c>
      <c r="G238" t="s">
        <v>10</v>
      </c>
      <c r="H238" t="s">
        <v>52</v>
      </c>
      <c r="I238" t="s">
        <v>60</v>
      </c>
      <c r="J238" t="s">
        <v>52</v>
      </c>
      <c r="M238" t="s">
        <v>63</v>
      </c>
      <c r="N238" t="s">
        <v>63</v>
      </c>
      <c r="O238" t="s">
        <v>54</v>
      </c>
    </row>
    <row r="239" spans="1:15" hidden="1" x14ac:dyDescent="0.35">
      <c r="A239" t="s">
        <v>845</v>
      </c>
      <c r="B239" t="s">
        <v>603</v>
      </c>
      <c r="C239" t="s">
        <v>239</v>
      </c>
      <c r="D239" t="s">
        <v>48</v>
      </c>
      <c r="E239" t="s">
        <v>49</v>
      </c>
      <c r="F239" t="s">
        <v>55</v>
      </c>
      <c r="G239" t="s">
        <v>10</v>
      </c>
      <c r="H239" t="s">
        <v>52</v>
      </c>
      <c r="I239" t="s">
        <v>52</v>
      </c>
      <c r="J239" t="s">
        <v>52</v>
      </c>
      <c r="M239" t="s">
        <v>57</v>
      </c>
      <c r="N239" t="s">
        <v>57</v>
      </c>
      <c r="O239" t="s">
        <v>54</v>
      </c>
    </row>
    <row r="240" spans="1:15" x14ac:dyDescent="0.35">
      <c r="A240" t="s">
        <v>873</v>
      </c>
      <c r="B240" t="s">
        <v>520</v>
      </c>
      <c r="C240" t="s">
        <v>156</v>
      </c>
      <c r="D240" t="s">
        <v>48</v>
      </c>
      <c r="E240" t="s">
        <v>49</v>
      </c>
      <c r="F240" t="s">
        <v>50</v>
      </c>
      <c r="G240" t="s">
        <v>26</v>
      </c>
      <c r="H240" t="s">
        <v>52</v>
      </c>
      <c r="I240" t="s">
        <v>64</v>
      </c>
      <c r="J240" t="s">
        <v>51</v>
      </c>
      <c r="M240" t="s">
        <v>57</v>
      </c>
      <c r="N240" t="s">
        <v>57</v>
      </c>
      <c r="O240" t="s">
        <v>54</v>
      </c>
    </row>
    <row r="241" spans="1:15" hidden="1" x14ac:dyDescent="0.35">
      <c r="A241" t="s">
        <v>834</v>
      </c>
      <c r="B241" t="s">
        <v>466</v>
      </c>
      <c r="C241" t="s">
        <v>102</v>
      </c>
      <c r="D241" t="s">
        <v>48</v>
      </c>
      <c r="E241" t="s">
        <v>49</v>
      </c>
      <c r="F241" t="s">
        <v>55</v>
      </c>
      <c r="G241" t="s">
        <v>18</v>
      </c>
      <c r="H241" t="s">
        <v>51</v>
      </c>
      <c r="I241" t="s">
        <v>52</v>
      </c>
      <c r="J241" t="s">
        <v>52</v>
      </c>
      <c r="M241" t="s">
        <v>56</v>
      </c>
      <c r="N241" t="s">
        <v>56</v>
      </c>
      <c r="O241" t="s">
        <v>54</v>
      </c>
    </row>
    <row r="242" spans="1:15" x14ac:dyDescent="0.35">
      <c r="A242" t="s">
        <v>881</v>
      </c>
      <c r="B242" t="s">
        <v>719</v>
      </c>
      <c r="C242" t="s">
        <v>355</v>
      </c>
      <c r="D242" t="s">
        <v>48</v>
      </c>
      <c r="E242" t="s">
        <v>49</v>
      </c>
      <c r="F242" t="s">
        <v>50</v>
      </c>
      <c r="G242" t="s">
        <v>5</v>
      </c>
      <c r="H242" t="s">
        <v>52</v>
      </c>
      <c r="I242" t="s">
        <v>60</v>
      </c>
      <c r="J242" t="s">
        <v>51</v>
      </c>
      <c r="M242" t="s">
        <v>67</v>
      </c>
      <c r="N242" t="s">
        <v>67</v>
      </c>
      <c r="O242" t="s">
        <v>54</v>
      </c>
    </row>
    <row r="243" spans="1:15" hidden="1" x14ac:dyDescent="0.35">
      <c r="A243" t="s">
        <v>893</v>
      </c>
      <c r="B243" t="s">
        <v>787</v>
      </c>
      <c r="C243" t="s">
        <v>423</v>
      </c>
      <c r="D243" t="s">
        <v>48</v>
      </c>
      <c r="E243" t="s">
        <v>49</v>
      </c>
      <c r="F243" t="s">
        <v>55</v>
      </c>
      <c r="G243" t="s">
        <v>8</v>
      </c>
      <c r="H243" t="s">
        <v>52</v>
      </c>
      <c r="I243" t="s">
        <v>52</v>
      </c>
      <c r="J243" t="s">
        <v>51</v>
      </c>
      <c r="M243" t="s">
        <v>67</v>
      </c>
      <c r="N243" t="s">
        <v>67</v>
      </c>
      <c r="O243" t="s">
        <v>54</v>
      </c>
    </row>
    <row r="244" spans="1:15" x14ac:dyDescent="0.35">
      <c r="A244" t="s">
        <v>864</v>
      </c>
      <c r="B244" t="s">
        <v>617</v>
      </c>
      <c r="C244" t="s">
        <v>253</v>
      </c>
      <c r="D244" t="s">
        <v>48</v>
      </c>
      <c r="E244" t="s">
        <v>49</v>
      </c>
      <c r="F244" t="s">
        <v>50</v>
      </c>
      <c r="G244" t="s">
        <v>26</v>
      </c>
      <c r="H244" t="s">
        <v>51</v>
      </c>
      <c r="I244" t="s">
        <v>52</v>
      </c>
      <c r="J244" t="s">
        <v>51</v>
      </c>
      <c r="K244" t="s">
        <v>51</v>
      </c>
      <c r="M244" t="s">
        <v>57</v>
      </c>
      <c r="N244" t="s">
        <v>57</v>
      </c>
      <c r="O244" t="s">
        <v>54</v>
      </c>
    </row>
    <row r="245" spans="1:15" x14ac:dyDescent="0.35">
      <c r="A245" t="s">
        <v>881</v>
      </c>
      <c r="B245" t="s">
        <v>702</v>
      </c>
      <c r="C245" t="s">
        <v>338</v>
      </c>
      <c r="D245" t="s">
        <v>48</v>
      </c>
      <c r="E245" t="s">
        <v>49</v>
      </c>
      <c r="F245" t="s">
        <v>50</v>
      </c>
      <c r="G245" t="s">
        <v>26</v>
      </c>
      <c r="H245" t="s">
        <v>52</v>
      </c>
      <c r="I245" t="s">
        <v>64</v>
      </c>
      <c r="J245" t="s">
        <v>52</v>
      </c>
      <c r="M245" t="s">
        <v>67</v>
      </c>
      <c r="N245" t="s">
        <v>67</v>
      </c>
      <c r="O245" t="s">
        <v>54</v>
      </c>
    </row>
    <row r="246" spans="1:15" x14ac:dyDescent="0.35">
      <c r="A246" t="s">
        <v>922</v>
      </c>
      <c r="B246" t="s">
        <v>533</v>
      </c>
      <c r="C246" t="s">
        <v>169</v>
      </c>
      <c r="D246" t="s">
        <v>48</v>
      </c>
      <c r="E246" t="s">
        <v>49</v>
      </c>
      <c r="F246" t="s">
        <v>50</v>
      </c>
      <c r="G246" t="s">
        <v>0</v>
      </c>
      <c r="H246" t="s">
        <v>52</v>
      </c>
      <c r="I246" t="s">
        <v>52</v>
      </c>
      <c r="J246" t="s">
        <v>51</v>
      </c>
      <c r="K246" t="s">
        <v>51</v>
      </c>
      <c r="M246" t="s">
        <v>71</v>
      </c>
      <c r="N246" t="s">
        <v>71</v>
      </c>
      <c r="O246" t="s">
        <v>54</v>
      </c>
    </row>
    <row r="247" spans="1:15" hidden="1" x14ac:dyDescent="0.35">
      <c r="A247" t="s">
        <v>923</v>
      </c>
      <c r="B247" t="s">
        <v>824</v>
      </c>
      <c r="C247" t="s">
        <v>460</v>
      </c>
      <c r="D247" t="s">
        <v>48</v>
      </c>
      <c r="E247" t="s">
        <v>49</v>
      </c>
      <c r="F247" t="s">
        <v>55</v>
      </c>
      <c r="G247" t="s">
        <v>26</v>
      </c>
      <c r="H247" t="s">
        <v>52</v>
      </c>
      <c r="I247" t="s">
        <v>52</v>
      </c>
      <c r="J247" t="s">
        <v>51</v>
      </c>
      <c r="K247" t="s">
        <v>51</v>
      </c>
      <c r="M247" t="s">
        <v>53</v>
      </c>
      <c r="N247" t="s">
        <v>53</v>
      </c>
      <c r="O247" t="s">
        <v>54</v>
      </c>
    </row>
    <row r="248" spans="1:15" x14ac:dyDescent="0.35">
      <c r="A248" t="s">
        <v>924</v>
      </c>
      <c r="B248" t="s">
        <v>775</v>
      </c>
      <c r="C248" t="s">
        <v>411</v>
      </c>
      <c r="D248" t="s">
        <v>48</v>
      </c>
      <c r="E248" t="s">
        <v>49</v>
      </c>
      <c r="F248" t="s">
        <v>50</v>
      </c>
      <c r="G248" t="s">
        <v>5</v>
      </c>
      <c r="H248" t="s">
        <v>52</v>
      </c>
      <c r="I248" t="s">
        <v>52</v>
      </c>
      <c r="J248" t="s">
        <v>51</v>
      </c>
      <c r="K248" t="s">
        <v>51</v>
      </c>
      <c r="M248" t="s">
        <v>84</v>
      </c>
      <c r="N248" t="s">
        <v>84</v>
      </c>
      <c r="O248" t="s">
        <v>54</v>
      </c>
    </row>
    <row r="249" spans="1:15" x14ac:dyDescent="0.35">
      <c r="A249" t="s">
        <v>836</v>
      </c>
      <c r="B249" t="s">
        <v>684</v>
      </c>
      <c r="C249" t="s">
        <v>320</v>
      </c>
      <c r="D249" t="s">
        <v>48</v>
      </c>
      <c r="E249" t="s">
        <v>49</v>
      </c>
      <c r="F249" t="s">
        <v>50</v>
      </c>
      <c r="G249" t="s">
        <v>9</v>
      </c>
      <c r="H249" t="s">
        <v>52</v>
      </c>
      <c r="I249" t="s">
        <v>60</v>
      </c>
      <c r="J249" t="s">
        <v>51</v>
      </c>
      <c r="K249" t="s">
        <v>51</v>
      </c>
      <c r="M249" t="s">
        <v>63</v>
      </c>
      <c r="N249" t="s">
        <v>63</v>
      </c>
      <c r="O249" t="s">
        <v>54</v>
      </c>
    </row>
    <row r="250" spans="1:15" x14ac:dyDescent="0.35">
      <c r="A250" t="s">
        <v>875</v>
      </c>
      <c r="B250" t="s">
        <v>673</v>
      </c>
      <c r="C250" t="s">
        <v>309</v>
      </c>
      <c r="D250" t="s">
        <v>48</v>
      </c>
      <c r="E250" t="s">
        <v>49</v>
      </c>
      <c r="F250" t="s">
        <v>50</v>
      </c>
      <c r="G250" t="s">
        <v>5</v>
      </c>
      <c r="H250" t="s">
        <v>52</v>
      </c>
      <c r="I250" t="s">
        <v>52</v>
      </c>
      <c r="J250" t="s">
        <v>52</v>
      </c>
      <c r="M250" t="s">
        <v>67</v>
      </c>
      <c r="N250" t="s">
        <v>67</v>
      </c>
      <c r="O250" t="s">
        <v>54</v>
      </c>
    </row>
    <row r="251" spans="1:15" x14ac:dyDescent="0.35">
      <c r="A251" t="s">
        <v>843</v>
      </c>
      <c r="B251" t="s">
        <v>686</v>
      </c>
      <c r="C251" t="s">
        <v>322</v>
      </c>
      <c r="D251" t="s">
        <v>48</v>
      </c>
      <c r="E251" t="s">
        <v>49</v>
      </c>
      <c r="F251" t="s">
        <v>50</v>
      </c>
      <c r="G251" t="s">
        <v>29</v>
      </c>
      <c r="H251" t="s">
        <v>52</v>
      </c>
      <c r="I251" t="s">
        <v>52</v>
      </c>
      <c r="J251" t="s">
        <v>52</v>
      </c>
      <c r="M251" t="s">
        <v>67</v>
      </c>
      <c r="N251" t="s">
        <v>67</v>
      </c>
      <c r="O251" t="s">
        <v>54</v>
      </c>
    </row>
    <row r="252" spans="1:15" hidden="1" x14ac:dyDescent="0.35">
      <c r="A252" t="s">
        <v>925</v>
      </c>
      <c r="B252" t="s">
        <v>650</v>
      </c>
      <c r="C252" t="s">
        <v>286</v>
      </c>
      <c r="D252" t="s">
        <v>48</v>
      </c>
      <c r="E252" t="s">
        <v>49</v>
      </c>
      <c r="F252" t="s">
        <v>55</v>
      </c>
      <c r="G252" t="s">
        <v>9</v>
      </c>
      <c r="H252" t="s">
        <v>52</v>
      </c>
      <c r="I252" t="s">
        <v>60</v>
      </c>
      <c r="J252" t="s">
        <v>52</v>
      </c>
      <c r="M252" t="s">
        <v>71</v>
      </c>
      <c r="N252" t="s">
        <v>71</v>
      </c>
      <c r="O252" t="s">
        <v>54</v>
      </c>
    </row>
    <row r="253" spans="1:15" x14ac:dyDescent="0.35">
      <c r="A253" t="s">
        <v>924</v>
      </c>
      <c r="B253" t="s">
        <v>608</v>
      </c>
      <c r="C253" t="s">
        <v>244</v>
      </c>
      <c r="D253" t="s">
        <v>48</v>
      </c>
      <c r="E253" t="s">
        <v>49</v>
      </c>
      <c r="F253" t="s">
        <v>50</v>
      </c>
      <c r="G253" t="s">
        <v>26</v>
      </c>
      <c r="H253" t="s">
        <v>51</v>
      </c>
      <c r="I253" t="s">
        <v>52</v>
      </c>
      <c r="J253" t="s">
        <v>51</v>
      </c>
      <c r="M253" t="s">
        <v>84</v>
      </c>
      <c r="N253" t="s">
        <v>84</v>
      </c>
      <c r="O253" t="s">
        <v>54</v>
      </c>
    </row>
    <row r="254" spans="1:15" hidden="1" x14ac:dyDescent="0.35">
      <c r="A254" t="s">
        <v>869</v>
      </c>
      <c r="B254" t="s">
        <v>497</v>
      </c>
      <c r="C254" t="s">
        <v>133</v>
      </c>
      <c r="D254" t="s">
        <v>48</v>
      </c>
      <c r="E254" t="s">
        <v>49</v>
      </c>
      <c r="F254" t="s">
        <v>55</v>
      </c>
      <c r="G254" t="s">
        <v>5</v>
      </c>
      <c r="H254" t="s">
        <v>52</v>
      </c>
      <c r="I254" t="s">
        <v>52</v>
      </c>
      <c r="J254" t="s">
        <v>51</v>
      </c>
      <c r="K254" t="s">
        <v>51</v>
      </c>
      <c r="M254" t="s">
        <v>66</v>
      </c>
      <c r="N254" t="s">
        <v>66</v>
      </c>
      <c r="O254" t="s">
        <v>54</v>
      </c>
    </row>
    <row r="255" spans="1:15" hidden="1" x14ac:dyDescent="0.35">
      <c r="A255" t="s">
        <v>829</v>
      </c>
      <c r="B255" t="s">
        <v>511</v>
      </c>
      <c r="C255" t="s">
        <v>147</v>
      </c>
      <c r="D255" t="s">
        <v>48</v>
      </c>
      <c r="E255" t="s">
        <v>49</v>
      </c>
      <c r="F255" t="s">
        <v>55</v>
      </c>
      <c r="G255" t="s">
        <v>14</v>
      </c>
      <c r="H255" t="s">
        <v>52</v>
      </c>
      <c r="I255" t="s">
        <v>52</v>
      </c>
      <c r="J255" t="s">
        <v>52</v>
      </c>
      <c r="M255" t="s">
        <v>56</v>
      </c>
      <c r="N255" t="s">
        <v>56</v>
      </c>
      <c r="O255" t="s">
        <v>54</v>
      </c>
    </row>
    <row r="256" spans="1:15" hidden="1" x14ac:dyDescent="0.35">
      <c r="A256" t="s">
        <v>904</v>
      </c>
      <c r="B256" t="s">
        <v>532</v>
      </c>
      <c r="C256" t="s">
        <v>168</v>
      </c>
      <c r="D256" t="s">
        <v>48</v>
      </c>
      <c r="E256" t="s">
        <v>49</v>
      </c>
      <c r="F256" t="s">
        <v>55</v>
      </c>
      <c r="G256" t="s">
        <v>0</v>
      </c>
      <c r="H256" t="s">
        <v>52</v>
      </c>
      <c r="I256" t="s">
        <v>52</v>
      </c>
      <c r="J256" t="s">
        <v>52</v>
      </c>
      <c r="M256" t="s">
        <v>57</v>
      </c>
      <c r="N256" t="s">
        <v>57</v>
      </c>
      <c r="O256" t="s">
        <v>54</v>
      </c>
    </row>
    <row r="257" spans="1:15" hidden="1" x14ac:dyDescent="0.35">
      <c r="A257" t="s">
        <v>860</v>
      </c>
      <c r="B257" t="s">
        <v>646</v>
      </c>
      <c r="C257" t="s">
        <v>282</v>
      </c>
      <c r="D257" t="s">
        <v>48</v>
      </c>
      <c r="E257" t="s">
        <v>49</v>
      </c>
      <c r="F257" t="s">
        <v>55</v>
      </c>
      <c r="G257" t="s">
        <v>26</v>
      </c>
      <c r="H257" t="s">
        <v>52</v>
      </c>
      <c r="I257" t="s">
        <v>52</v>
      </c>
      <c r="J257" t="s">
        <v>52</v>
      </c>
      <c r="M257" t="s">
        <v>63</v>
      </c>
      <c r="N257" t="s">
        <v>63</v>
      </c>
      <c r="O257" t="s">
        <v>54</v>
      </c>
    </row>
    <row r="258" spans="1:15" x14ac:dyDescent="0.35">
      <c r="A258" t="s">
        <v>881</v>
      </c>
      <c r="B258" t="s">
        <v>636</v>
      </c>
      <c r="C258" t="s">
        <v>272</v>
      </c>
      <c r="D258" t="s">
        <v>48</v>
      </c>
      <c r="E258" t="s">
        <v>49</v>
      </c>
      <c r="F258" t="s">
        <v>50</v>
      </c>
      <c r="G258" t="s">
        <v>9</v>
      </c>
      <c r="H258" t="s">
        <v>52</v>
      </c>
      <c r="I258" t="s">
        <v>52</v>
      </c>
      <c r="J258" t="s">
        <v>51</v>
      </c>
      <c r="M258" t="s">
        <v>67</v>
      </c>
      <c r="N258" t="s">
        <v>67</v>
      </c>
      <c r="O258" t="s">
        <v>54</v>
      </c>
    </row>
    <row r="259" spans="1:15" x14ac:dyDescent="0.35">
      <c r="A259" t="s">
        <v>844</v>
      </c>
      <c r="B259" t="s">
        <v>773</v>
      </c>
      <c r="C259" t="s">
        <v>409</v>
      </c>
      <c r="D259" t="s">
        <v>48</v>
      </c>
      <c r="E259" t="s">
        <v>49</v>
      </c>
      <c r="F259" t="s">
        <v>50</v>
      </c>
      <c r="G259" t="s">
        <v>13</v>
      </c>
      <c r="H259" t="s">
        <v>52</v>
      </c>
      <c r="I259" t="s">
        <v>52</v>
      </c>
      <c r="J259" t="s">
        <v>52</v>
      </c>
      <c r="M259" t="s">
        <v>63</v>
      </c>
      <c r="N259" t="s">
        <v>63</v>
      </c>
      <c r="O259" t="s">
        <v>54</v>
      </c>
    </row>
    <row r="260" spans="1:15" hidden="1" x14ac:dyDescent="0.35">
      <c r="A260" t="s">
        <v>839</v>
      </c>
      <c r="B260" t="s">
        <v>516</v>
      </c>
      <c r="C260" t="s">
        <v>152</v>
      </c>
      <c r="D260" t="s">
        <v>48</v>
      </c>
      <c r="E260" t="s">
        <v>49</v>
      </c>
      <c r="F260" t="s">
        <v>55</v>
      </c>
      <c r="G260" t="s">
        <v>5</v>
      </c>
      <c r="H260" t="s">
        <v>52</v>
      </c>
      <c r="I260" t="s">
        <v>60</v>
      </c>
      <c r="J260" t="s">
        <v>52</v>
      </c>
      <c r="M260" t="s">
        <v>59</v>
      </c>
      <c r="N260" t="s">
        <v>59</v>
      </c>
      <c r="O260" t="s">
        <v>54</v>
      </c>
    </row>
    <row r="261" spans="1:15" x14ac:dyDescent="0.35">
      <c r="A261" t="s">
        <v>877</v>
      </c>
      <c r="B261" t="s">
        <v>746</v>
      </c>
      <c r="C261" t="s">
        <v>382</v>
      </c>
      <c r="D261" t="s">
        <v>48</v>
      </c>
      <c r="E261" t="s">
        <v>49</v>
      </c>
      <c r="F261" t="s">
        <v>50</v>
      </c>
      <c r="G261" t="s">
        <v>5</v>
      </c>
      <c r="H261" t="s">
        <v>52</v>
      </c>
      <c r="I261" t="s">
        <v>52</v>
      </c>
      <c r="J261" t="s">
        <v>52</v>
      </c>
      <c r="M261" t="s">
        <v>63</v>
      </c>
      <c r="N261" t="s">
        <v>63</v>
      </c>
      <c r="O261" t="s">
        <v>54</v>
      </c>
    </row>
    <row r="262" spans="1:15" x14ac:dyDescent="0.35">
      <c r="A262" t="s">
        <v>843</v>
      </c>
      <c r="B262" t="s">
        <v>613</v>
      </c>
      <c r="C262" t="s">
        <v>249</v>
      </c>
      <c r="D262" t="s">
        <v>48</v>
      </c>
      <c r="E262" t="s">
        <v>49</v>
      </c>
      <c r="F262" t="s">
        <v>50</v>
      </c>
      <c r="G262" t="s">
        <v>9</v>
      </c>
      <c r="H262" t="s">
        <v>52</v>
      </c>
      <c r="I262" t="s">
        <v>60</v>
      </c>
      <c r="J262" t="s">
        <v>52</v>
      </c>
      <c r="M262" t="s">
        <v>67</v>
      </c>
      <c r="N262" t="s">
        <v>67</v>
      </c>
      <c r="O262" t="s">
        <v>54</v>
      </c>
    </row>
    <row r="263" spans="1:15" x14ac:dyDescent="0.35">
      <c r="A263" t="s">
        <v>919</v>
      </c>
      <c r="B263" t="s">
        <v>810</v>
      </c>
      <c r="C263" t="s">
        <v>446</v>
      </c>
      <c r="D263" t="s">
        <v>48</v>
      </c>
      <c r="E263" t="s">
        <v>49</v>
      </c>
      <c r="F263" t="s">
        <v>50</v>
      </c>
      <c r="G263" t="s">
        <v>26</v>
      </c>
      <c r="H263" t="s">
        <v>52</v>
      </c>
      <c r="I263" t="s">
        <v>52</v>
      </c>
      <c r="J263" t="s">
        <v>52</v>
      </c>
      <c r="M263" t="s">
        <v>59</v>
      </c>
      <c r="N263" t="s">
        <v>59</v>
      </c>
      <c r="O263" t="s">
        <v>54</v>
      </c>
    </row>
    <row r="264" spans="1:15" x14ac:dyDescent="0.35">
      <c r="A264" t="s">
        <v>857</v>
      </c>
      <c r="B264" t="s">
        <v>631</v>
      </c>
      <c r="C264" t="s">
        <v>267</v>
      </c>
      <c r="D264" t="s">
        <v>48</v>
      </c>
      <c r="E264" t="s">
        <v>49</v>
      </c>
      <c r="F264" t="s">
        <v>50</v>
      </c>
      <c r="G264" t="s">
        <v>13</v>
      </c>
      <c r="H264" t="s">
        <v>52</v>
      </c>
      <c r="I264" t="s">
        <v>60</v>
      </c>
      <c r="J264" t="s">
        <v>51</v>
      </c>
      <c r="M264" t="s">
        <v>67</v>
      </c>
      <c r="N264" t="s">
        <v>67</v>
      </c>
      <c r="O264" t="s">
        <v>54</v>
      </c>
    </row>
    <row r="265" spans="1:15" x14ac:dyDescent="0.35">
      <c r="A265" t="s">
        <v>883</v>
      </c>
      <c r="B265" t="s">
        <v>536</v>
      </c>
      <c r="C265" t="s">
        <v>172</v>
      </c>
      <c r="D265" t="s">
        <v>48</v>
      </c>
      <c r="E265" t="s">
        <v>49</v>
      </c>
      <c r="F265" t="s">
        <v>50</v>
      </c>
      <c r="G265" t="s">
        <v>9</v>
      </c>
      <c r="H265" t="s">
        <v>52</v>
      </c>
      <c r="I265" t="s">
        <v>52</v>
      </c>
      <c r="J265" t="s">
        <v>52</v>
      </c>
      <c r="M265" t="s">
        <v>66</v>
      </c>
      <c r="N265" t="s">
        <v>66</v>
      </c>
      <c r="O265" t="s">
        <v>54</v>
      </c>
    </row>
    <row r="266" spans="1:15" hidden="1" x14ac:dyDescent="0.35">
      <c r="A266" t="s">
        <v>862</v>
      </c>
      <c r="B266" t="s">
        <v>701</v>
      </c>
      <c r="C266" t="s">
        <v>337</v>
      </c>
      <c r="D266" t="s">
        <v>48</v>
      </c>
      <c r="E266" t="s">
        <v>49</v>
      </c>
      <c r="F266" t="s">
        <v>55</v>
      </c>
      <c r="G266" t="s">
        <v>18</v>
      </c>
      <c r="H266" t="s">
        <v>52</v>
      </c>
      <c r="I266" t="s">
        <v>60</v>
      </c>
      <c r="J266" t="s">
        <v>52</v>
      </c>
      <c r="M266" t="s">
        <v>67</v>
      </c>
      <c r="N266" t="s">
        <v>67</v>
      </c>
      <c r="O266" t="s">
        <v>54</v>
      </c>
    </row>
    <row r="267" spans="1:15" x14ac:dyDescent="0.35">
      <c r="A267" t="s">
        <v>844</v>
      </c>
      <c r="B267" t="s">
        <v>519</v>
      </c>
      <c r="C267" t="s">
        <v>155</v>
      </c>
      <c r="D267" t="s">
        <v>48</v>
      </c>
      <c r="E267" t="s">
        <v>49</v>
      </c>
      <c r="F267" t="s">
        <v>50</v>
      </c>
      <c r="G267" t="s">
        <v>5</v>
      </c>
      <c r="H267" t="s">
        <v>52</v>
      </c>
      <c r="I267" t="s">
        <v>52</v>
      </c>
      <c r="J267" t="s">
        <v>51</v>
      </c>
      <c r="K267" t="s">
        <v>51</v>
      </c>
      <c r="M267" t="s">
        <v>63</v>
      </c>
      <c r="N267" t="s">
        <v>63</v>
      </c>
      <c r="O267" t="s">
        <v>54</v>
      </c>
    </row>
    <row r="268" spans="1:15" x14ac:dyDescent="0.35">
      <c r="A268" t="s">
        <v>841</v>
      </c>
      <c r="B268" t="s">
        <v>568</v>
      </c>
      <c r="C268" t="s">
        <v>204</v>
      </c>
      <c r="D268" t="s">
        <v>48</v>
      </c>
      <c r="E268" t="s">
        <v>49</v>
      </c>
      <c r="F268" t="s">
        <v>50</v>
      </c>
      <c r="G268" t="s">
        <v>5</v>
      </c>
      <c r="H268" t="s">
        <v>52</v>
      </c>
      <c r="I268" t="s">
        <v>52</v>
      </c>
      <c r="J268" t="s">
        <v>52</v>
      </c>
      <c r="M268" t="s">
        <v>57</v>
      </c>
      <c r="N268" t="s">
        <v>57</v>
      </c>
      <c r="O268" t="s">
        <v>54</v>
      </c>
    </row>
    <row r="269" spans="1:15" hidden="1" x14ac:dyDescent="0.35">
      <c r="A269" t="s">
        <v>837</v>
      </c>
      <c r="B269" t="s">
        <v>798</v>
      </c>
      <c r="C269" t="s">
        <v>434</v>
      </c>
      <c r="D269" t="s">
        <v>48</v>
      </c>
      <c r="E269" t="s">
        <v>49</v>
      </c>
      <c r="F269" t="s">
        <v>55</v>
      </c>
      <c r="G269" t="s">
        <v>5</v>
      </c>
      <c r="H269" t="s">
        <v>52</v>
      </c>
      <c r="I269" t="s">
        <v>52</v>
      </c>
      <c r="J269" t="s">
        <v>52</v>
      </c>
      <c r="M269" t="s">
        <v>63</v>
      </c>
      <c r="N269" t="s">
        <v>63</v>
      </c>
      <c r="O269" t="s">
        <v>54</v>
      </c>
    </row>
    <row r="270" spans="1:15" hidden="1" x14ac:dyDescent="0.35">
      <c r="A270" t="s">
        <v>849</v>
      </c>
      <c r="B270" t="s">
        <v>470</v>
      </c>
      <c r="C270" t="s">
        <v>106</v>
      </c>
      <c r="D270" t="s">
        <v>48</v>
      </c>
      <c r="E270" t="s">
        <v>49</v>
      </c>
      <c r="F270" t="s">
        <v>55</v>
      </c>
      <c r="G270" t="s">
        <v>21</v>
      </c>
      <c r="H270" t="s">
        <v>52</v>
      </c>
      <c r="I270" t="s">
        <v>60</v>
      </c>
      <c r="J270" t="s">
        <v>52</v>
      </c>
      <c r="M270" t="s">
        <v>59</v>
      </c>
      <c r="N270" t="s">
        <v>59</v>
      </c>
      <c r="O270" t="s">
        <v>54</v>
      </c>
    </row>
    <row r="271" spans="1:15" x14ac:dyDescent="0.35">
      <c r="A271" t="s">
        <v>848</v>
      </c>
      <c r="B271" t="s">
        <v>727</v>
      </c>
      <c r="C271" t="s">
        <v>363</v>
      </c>
      <c r="D271" t="s">
        <v>48</v>
      </c>
      <c r="E271" t="s">
        <v>49</v>
      </c>
      <c r="F271" t="s">
        <v>50</v>
      </c>
      <c r="G271" t="s">
        <v>5</v>
      </c>
      <c r="H271" t="s">
        <v>52</v>
      </c>
      <c r="I271" t="s">
        <v>60</v>
      </c>
      <c r="J271" t="s">
        <v>52</v>
      </c>
      <c r="M271" t="s">
        <v>56</v>
      </c>
      <c r="N271" t="s">
        <v>56</v>
      </c>
      <c r="O271" t="s">
        <v>54</v>
      </c>
    </row>
    <row r="272" spans="1:15" x14ac:dyDescent="0.35">
      <c r="A272" t="s">
        <v>843</v>
      </c>
      <c r="B272" t="s">
        <v>641</v>
      </c>
      <c r="C272" t="s">
        <v>277</v>
      </c>
      <c r="D272" t="s">
        <v>48</v>
      </c>
      <c r="E272" t="s">
        <v>49</v>
      </c>
      <c r="F272" t="s">
        <v>50</v>
      </c>
      <c r="G272" t="s">
        <v>5</v>
      </c>
      <c r="H272" t="s">
        <v>52</v>
      </c>
      <c r="I272" t="s">
        <v>60</v>
      </c>
      <c r="J272" t="s">
        <v>52</v>
      </c>
      <c r="M272" t="s">
        <v>67</v>
      </c>
      <c r="N272" t="s">
        <v>67</v>
      </c>
      <c r="O272" t="s">
        <v>54</v>
      </c>
    </row>
    <row r="273" spans="1:15" hidden="1" x14ac:dyDescent="0.35">
      <c r="A273" t="s">
        <v>872</v>
      </c>
      <c r="B273" t="s">
        <v>490</v>
      </c>
      <c r="C273" t="s">
        <v>126</v>
      </c>
      <c r="D273" t="s">
        <v>48</v>
      </c>
      <c r="E273" t="s">
        <v>49</v>
      </c>
      <c r="F273" t="s">
        <v>55</v>
      </c>
      <c r="G273" t="s">
        <v>5</v>
      </c>
      <c r="H273" t="s">
        <v>52</v>
      </c>
      <c r="I273" t="s">
        <v>52</v>
      </c>
      <c r="J273" t="s">
        <v>51</v>
      </c>
      <c r="M273" t="s">
        <v>57</v>
      </c>
      <c r="N273" t="s">
        <v>57</v>
      </c>
      <c r="O273" t="s">
        <v>54</v>
      </c>
    </row>
    <row r="274" spans="1:15" x14ac:dyDescent="0.35">
      <c r="A274" t="s">
        <v>875</v>
      </c>
      <c r="B274" t="s">
        <v>598</v>
      </c>
      <c r="C274" t="s">
        <v>234</v>
      </c>
      <c r="D274" t="s">
        <v>48</v>
      </c>
      <c r="E274" t="s">
        <v>49</v>
      </c>
      <c r="F274" t="s">
        <v>50</v>
      </c>
      <c r="G274" t="s">
        <v>5</v>
      </c>
      <c r="H274" t="s">
        <v>52</v>
      </c>
      <c r="I274" t="s">
        <v>52</v>
      </c>
      <c r="J274" t="s">
        <v>52</v>
      </c>
      <c r="M274" t="s">
        <v>67</v>
      </c>
      <c r="N274" t="s">
        <v>67</v>
      </c>
      <c r="O274" t="s">
        <v>54</v>
      </c>
    </row>
    <row r="275" spans="1:15" x14ac:dyDescent="0.35">
      <c r="A275" t="s">
        <v>863</v>
      </c>
      <c r="B275" t="s">
        <v>645</v>
      </c>
      <c r="C275" t="s">
        <v>281</v>
      </c>
      <c r="D275" t="s">
        <v>48</v>
      </c>
      <c r="E275" t="s">
        <v>49</v>
      </c>
      <c r="F275" t="s">
        <v>50</v>
      </c>
      <c r="G275" t="s">
        <v>26</v>
      </c>
      <c r="H275" t="s">
        <v>51</v>
      </c>
      <c r="I275" t="s">
        <v>52</v>
      </c>
      <c r="J275" t="s">
        <v>52</v>
      </c>
      <c r="M275" t="s">
        <v>56</v>
      </c>
      <c r="N275" t="s">
        <v>56</v>
      </c>
      <c r="O275" t="s">
        <v>54</v>
      </c>
    </row>
    <row r="276" spans="1:15" hidden="1" x14ac:dyDescent="0.35">
      <c r="A276" t="s">
        <v>862</v>
      </c>
      <c r="B276" t="s">
        <v>586</v>
      </c>
      <c r="C276" t="s">
        <v>222</v>
      </c>
      <c r="D276" t="s">
        <v>48</v>
      </c>
      <c r="E276" t="s">
        <v>49</v>
      </c>
      <c r="F276" t="s">
        <v>55</v>
      </c>
      <c r="G276" t="s">
        <v>27</v>
      </c>
      <c r="H276" t="s">
        <v>52</v>
      </c>
      <c r="I276" t="s">
        <v>60</v>
      </c>
      <c r="J276" t="s">
        <v>52</v>
      </c>
      <c r="M276" t="s">
        <v>67</v>
      </c>
      <c r="N276" t="s">
        <v>67</v>
      </c>
      <c r="O276" t="s">
        <v>54</v>
      </c>
    </row>
    <row r="277" spans="1:15" x14ac:dyDescent="0.35">
      <c r="A277" t="s">
        <v>841</v>
      </c>
      <c r="B277" t="s">
        <v>693</v>
      </c>
      <c r="C277" t="s">
        <v>329</v>
      </c>
      <c r="D277" t="s">
        <v>48</v>
      </c>
      <c r="E277" t="s">
        <v>49</v>
      </c>
      <c r="F277" t="s">
        <v>50</v>
      </c>
      <c r="G277" t="s">
        <v>22</v>
      </c>
      <c r="H277" t="s">
        <v>52</v>
      </c>
      <c r="I277" t="s">
        <v>52</v>
      </c>
      <c r="J277" t="s">
        <v>52</v>
      </c>
      <c r="M277" t="s">
        <v>57</v>
      </c>
      <c r="N277" t="s">
        <v>57</v>
      </c>
      <c r="O277" t="s">
        <v>54</v>
      </c>
    </row>
    <row r="278" spans="1:15" x14ac:dyDescent="0.35">
      <c r="A278" t="s">
        <v>844</v>
      </c>
      <c r="B278" t="s">
        <v>548</v>
      </c>
      <c r="C278" t="s">
        <v>184</v>
      </c>
      <c r="D278" t="s">
        <v>48</v>
      </c>
      <c r="E278" t="s">
        <v>49</v>
      </c>
      <c r="F278" t="s">
        <v>50</v>
      </c>
      <c r="G278" t="s">
        <v>29</v>
      </c>
      <c r="H278" t="s">
        <v>52</v>
      </c>
      <c r="I278" t="s">
        <v>52</v>
      </c>
      <c r="J278" t="s">
        <v>52</v>
      </c>
      <c r="M278" t="s">
        <v>63</v>
      </c>
      <c r="N278" t="s">
        <v>63</v>
      </c>
      <c r="O278" t="s">
        <v>54</v>
      </c>
    </row>
    <row r="279" spans="1:15" hidden="1" x14ac:dyDescent="0.35">
      <c r="A279" t="s">
        <v>845</v>
      </c>
      <c r="B279" t="s">
        <v>694</v>
      </c>
      <c r="C279" t="s">
        <v>330</v>
      </c>
      <c r="D279" t="s">
        <v>48</v>
      </c>
      <c r="E279" t="s">
        <v>49</v>
      </c>
      <c r="F279" t="s">
        <v>55</v>
      </c>
      <c r="G279" t="s">
        <v>29</v>
      </c>
      <c r="H279" t="s">
        <v>52</v>
      </c>
      <c r="I279" t="s">
        <v>52</v>
      </c>
      <c r="J279" t="s">
        <v>52</v>
      </c>
      <c r="M279" t="s">
        <v>57</v>
      </c>
      <c r="N279" t="s">
        <v>57</v>
      </c>
      <c r="O279" t="s">
        <v>54</v>
      </c>
    </row>
    <row r="280" spans="1:15" hidden="1" x14ac:dyDescent="0.35">
      <c r="A280" t="s">
        <v>849</v>
      </c>
      <c r="B280" t="s">
        <v>672</v>
      </c>
      <c r="C280" t="s">
        <v>308</v>
      </c>
      <c r="D280" t="s">
        <v>48</v>
      </c>
      <c r="E280" t="s">
        <v>49</v>
      </c>
      <c r="F280" t="s">
        <v>55</v>
      </c>
      <c r="G280" t="s">
        <v>9</v>
      </c>
      <c r="H280" t="s">
        <v>52</v>
      </c>
      <c r="I280" t="s">
        <v>52</v>
      </c>
      <c r="J280" t="s">
        <v>51</v>
      </c>
      <c r="M280" t="s">
        <v>59</v>
      </c>
      <c r="N280" t="s">
        <v>59</v>
      </c>
      <c r="O280" t="s">
        <v>54</v>
      </c>
    </row>
    <row r="281" spans="1:15" hidden="1" x14ac:dyDescent="0.35">
      <c r="A281" t="s">
        <v>926</v>
      </c>
      <c r="B281" t="s">
        <v>786</v>
      </c>
      <c r="C281" t="s">
        <v>422</v>
      </c>
      <c r="D281" t="s">
        <v>48</v>
      </c>
      <c r="E281" t="s">
        <v>49</v>
      </c>
      <c r="F281" t="s">
        <v>55</v>
      </c>
      <c r="G281" t="s">
        <v>5</v>
      </c>
      <c r="H281" t="s">
        <v>51</v>
      </c>
      <c r="I281" t="s">
        <v>52</v>
      </c>
      <c r="J281" t="s">
        <v>51</v>
      </c>
      <c r="K281" t="s">
        <v>51</v>
      </c>
      <c r="M281" t="s">
        <v>95</v>
      </c>
      <c r="N281" t="s">
        <v>95</v>
      </c>
      <c r="O281" t="s">
        <v>54</v>
      </c>
    </row>
    <row r="282" spans="1:15" x14ac:dyDescent="0.35">
      <c r="A282" t="s">
        <v>870</v>
      </c>
      <c r="B282" t="s">
        <v>619</v>
      </c>
      <c r="C282" t="s">
        <v>255</v>
      </c>
      <c r="D282" t="s">
        <v>48</v>
      </c>
      <c r="E282" t="s">
        <v>49</v>
      </c>
      <c r="F282" t="s">
        <v>50</v>
      </c>
      <c r="G282" t="s">
        <v>9</v>
      </c>
      <c r="H282" t="s">
        <v>52</v>
      </c>
      <c r="I282" t="s">
        <v>52</v>
      </c>
      <c r="J282" t="s">
        <v>52</v>
      </c>
      <c r="M282" t="s">
        <v>67</v>
      </c>
      <c r="N282" t="s">
        <v>67</v>
      </c>
      <c r="O282" t="s">
        <v>54</v>
      </c>
    </row>
    <row r="283" spans="1:15" x14ac:dyDescent="0.35">
      <c r="A283" t="s">
        <v>875</v>
      </c>
      <c r="B283" t="s">
        <v>689</v>
      </c>
      <c r="C283" t="s">
        <v>325</v>
      </c>
      <c r="D283" t="s">
        <v>48</v>
      </c>
      <c r="E283" t="s">
        <v>49</v>
      </c>
      <c r="F283" t="s">
        <v>50</v>
      </c>
      <c r="G283" t="s">
        <v>9</v>
      </c>
      <c r="H283" t="s">
        <v>52</v>
      </c>
      <c r="I283" t="s">
        <v>52</v>
      </c>
      <c r="J283" t="s">
        <v>52</v>
      </c>
      <c r="M283" t="s">
        <v>67</v>
      </c>
      <c r="N283" t="s">
        <v>67</v>
      </c>
      <c r="O283" t="s">
        <v>54</v>
      </c>
    </row>
    <row r="284" spans="1:15" x14ac:dyDescent="0.35">
      <c r="A284" t="s">
        <v>863</v>
      </c>
      <c r="B284" t="s">
        <v>485</v>
      </c>
      <c r="C284" t="s">
        <v>121</v>
      </c>
      <c r="D284" t="s">
        <v>48</v>
      </c>
      <c r="E284" t="s">
        <v>49</v>
      </c>
      <c r="F284" t="s">
        <v>50</v>
      </c>
      <c r="G284" t="s">
        <v>26</v>
      </c>
      <c r="H284" t="s">
        <v>52</v>
      </c>
      <c r="I284" t="s">
        <v>64</v>
      </c>
      <c r="J284" t="s">
        <v>52</v>
      </c>
      <c r="M284" t="s">
        <v>56</v>
      </c>
      <c r="N284" t="s">
        <v>56</v>
      </c>
      <c r="O284" t="s">
        <v>54</v>
      </c>
    </row>
    <row r="285" spans="1:15" x14ac:dyDescent="0.35">
      <c r="A285" t="s">
        <v>870</v>
      </c>
      <c r="B285" t="s">
        <v>632</v>
      </c>
      <c r="C285" t="s">
        <v>268</v>
      </c>
      <c r="D285" t="s">
        <v>48</v>
      </c>
      <c r="E285" t="s">
        <v>49</v>
      </c>
      <c r="F285" t="s">
        <v>50</v>
      </c>
      <c r="G285" t="s">
        <v>13</v>
      </c>
      <c r="H285" t="s">
        <v>52</v>
      </c>
      <c r="I285" t="s">
        <v>52</v>
      </c>
      <c r="J285" t="s">
        <v>51</v>
      </c>
      <c r="M285" t="s">
        <v>67</v>
      </c>
      <c r="N285" t="s">
        <v>67</v>
      </c>
      <c r="O285" t="s">
        <v>54</v>
      </c>
    </row>
    <row r="286" spans="1:15" hidden="1" x14ac:dyDescent="0.35">
      <c r="A286" t="s">
        <v>927</v>
      </c>
      <c r="B286" t="s">
        <v>809</v>
      </c>
      <c r="C286" t="s">
        <v>445</v>
      </c>
      <c r="D286" t="s">
        <v>48</v>
      </c>
      <c r="E286" t="s">
        <v>49</v>
      </c>
      <c r="F286" t="s">
        <v>55</v>
      </c>
      <c r="G286" t="s">
        <v>19</v>
      </c>
      <c r="H286" t="s">
        <v>52</v>
      </c>
      <c r="I286" t="s">
        <v>52</v>
      </c>
      <c r="J286" t="s">
        <v>52</v>
      </c>
      <c r="M286" t="s">
        <v>61</v>
      </c>
      <c r="N286" t="s">
        <v>61</v>
      </c>
      <c r="O286" t="s">
        <v>54</v>
      </c>
    </row>
    <row r="287" spans="1:15" hidden="1" x14ac:dyDescent="0.35">
      <c r="A287" t="s">
        <v>916</v>
      </c>
      <c r="B287" t="s">
        <v>705</v>
      </c>
      <c r="C287" t="s">
        <v>341</v>
      </c>
      <c r="D287" t="s">
        <v>48</v>
      </c>
      <c r="E287" t="s">
        <v>49</v>
      </c>
      <c r="F287" t="s">
        <v>55</v>
      </c>
      <c r="G287" t="s">
        <v>25</v>
      </c>
      <c r="H287" t="s">
        <v>52</v>
      </c>
      <c r="I287" t="s">
        <v>52</v>
      </c>
      <c r="J287" t="s">
        <v>52</v>
      </c>
      <c r="M287" t="s">
        <v>56</v>
      </c>
      <c r="N287" t="s">
        <v>56</v>
      </c>
      <c r="O287" t="s">
        <v>54</v>
      </c>
    </row>
    <row r="288" spans="1:15" x14ac:dyDescent="0.35">
      <c r="A288" t="s">
        <v>850</v>
      </c>
      <c r="B288" t="s">
        <v>571</v>
      </c>
      <c r="C288" t="s">
        <v>207</v>
      </c>
      <c r="D288" t="s">
        <v>48</v>
      </c>
      <c r="E288" t="s">
        <v>49</v>
      </c>
      <c r="F288" t="s">
        <v>50</v>
      </c>
      <c r="G288" t="s">
        <v>26</v>
      </c>
      <c r="H288" t="s">
        <v>52</v>
      </c>
      <c r="I288" t="s">
        <v>52</v>
      </c>
      <c r="J288" t="s">
        <v>52</v>
      </c>
      <c r="M288" t="s">
        <v>57</v>
      </c>
      <c r="N288" t="s">
        <v>57</v>
      </c>
      <c r="O288" t="s">
        <v>54</v>
      </c>
    </row>
    <row r="289" spans="1:15" x14ac:dyDescent="0.35">
      <c r="A289" t="s">
        <v>919</v>
      </c>
      <c r="B289" t="s">
        <v>761</v>
      </c>
      <c r="C289" t="s">
        <v>397</v>
      </c>
      <c r="D289" t="s">
        <v>48</v>
      </c>
      <c r="E289" t="s">
        <v>49</v>
      </c>
      <c r="F289" t="s">
        <v>50</v>
      </c>
      <c r="G289" t="s">
        <v>5</v>
      </c>
      <c r="H289" t="s">
        <v>52</v>
      </c>
      <c r="I289" t="s">
        <v>52</v>
      </c>
      <c r="J289" t="s">
        <v>52</v>
      </c>
      <c r="M289" t="s">
        <v>59</v>
      </c>
      <c r="N289" t="s">
        <v>59</v>
      </c>
      <c r="O289" t="s">
        <v>54</v>
      </c>
    </row>
    <row r="290" spans="1:15" x14ac:dyDescent="0.35">
      <c r="A290" t="s">
        <v>877</v>
      </c>
      <c r="B290" t="s">
        <v>749</v>
      </c>
      <c r="C290" t="s">
        <v>385</v>
      </c>
      <c r="D290" t="s">
        <v>48</v>
      </c>
      <c r="E290" t="s">
        <v>49</v>
      </c>
      <c r="F290" t="s">
        <v>50</v>
      </c>
      <c r="G290" t="s">
        <v>9</v>
      </c>
      <c r="H290" t="s">
        <v>52</v>
      </c>
      <c r="I290" t="s">
        <v>52</v>
      </c>
      <c r="J290" t="s">
        <v>52</v>
      </c>
      <c r="M290" t="s">
        <v>63</v>
      </c>
      <c r="N290" t="s">
        <v>63</v>
      </c>
      <c r="O290" t="s">
        <v>54</v>
      </c>
    </row>
    <row r="291" spans="1:15" x14ac:dyDescent="0.35">
      <c r="A291" t="s">
        <v>857</v>
      </c>
      <c r="B291" t="s">
        <v>691</v>
      </c>
      <c r="C291" t="s">
        <v>327</v>
      </c>
      <c r="D291" t="s">
        <v>48</v>
      </c>
      <c r="E291" t="s">
        <v>49</v>
      </c>
      <c r="F291" t="s">
        <v>50</v>
      </c>
      <c r="G291" t="s">
        <v>5</v>
      </c>
      <c r="H291" t="s">
        <v>52</v>
      </c>
      <c r="I291" t="s">
        <v>52</v>
      </c>
      <c r="J291" t="s">
        <v>51</v>
      </c>
      <c r="M291" t="s">
        <v>67</v>
      </c>
      <c r="N291" t="s">
        <v>67</v>
      </c>
      <c r="O291" t="s">
        <v>54</v>
      </c>
    </row>
    <row r="292" spans="1:15" x14ac:dyDescent="0.35">
      <c r="A292" t="s">
        <v>877</v>
      </c>
      <c r="B292" t="s">
        <v>732</v>
      </c>
      <c r="C292" t="s">
        <v>368</v>
      </c>
      <c r="D292" t="s">
        <v>48</v>
      </c>
      <c r="E292" t="s">
        <v>49</v>
      </c>
      <c r="F292" t="s">
        <v>50</v>
      </c>
      <c r="G292" t="s">
        <v>5</v>
      </c>
      <c r="H292" t="s">
        <v>52</v>
      </c>
      <c r="I292" t="s">
        <v>52</v>
      </c>
      <c r="J292" t="s">
        <v>52</v>
      </c>
      <c r="M292" t="s">
        <v>63</v>
      </c>
      <c r="N292" t="s">
        <v>63</v>
      </c>
      <c r="O292" t="s">
        <v>54</v>
      </c>
    </row>
    <row r="293" spans="1:15" hidden="1" x14ac:dyDescent="0.35">
      <c r="A293" t="s">
        <v>872</v>
      </c>
      <c r="B293" t="s">
        <v>473</v>
      </c>
      <c r="C293" t="s">
        <v>109</v>
      </c>
      <c r="D293" t="s">
        <v>48</v>
      </c>
      <c r="E293" t="s">
        <v>49</v>
      </c>
      <c r="F293" t="s">
        <v>55</v>
      </c>
      <c r="G293" t="s">
        <v>5</v>
      </c>
      <c r="H293" t="s">
        <v>52</v>
      </c>
      <c r="I293" t="s">
        <v>52</v>
      </c>
      <c r="J293" t="s">
        <v>51</v>
      </c>
      <c r="K293" t="s">
        <v>51</v>
      </c>
      <c r="L293" t="s">
        <v>62</v>
      </c>
      <c r="M293" t="s">
        <v>57</v>
      </c>
      <c r="N293" t="s">
        <v>57</v>
      </c>
      <c r="O293" t="s">
        <v>54</v>
      </c>
    </row>
    <row r="294" spans="1:15" hidden="1" x14ac:dyDescent="0.35">
      <c r="A294" t="s">
        <v>845</v>
      </c>
      <c r="B294" t="s">
        <v>649</v>
      </c>
      <c r="C294" t="s">
        <v>285</v>
      </c>
      <c r="D294" t="s">
        <v>48</v>
      </c>
      <c r="E294" t="s">
        <v>49</v>
      </c>
      <c r="F294" t="s">
        <v>55</v>
      </c>
      <c r="G294" t="s">
        <v>21</v>
      </c>
      <c r="H294" t="s">
        <v>52</v>
      </c>
      <c r="I294" t="s">
        <v>52</v>
      </c>
      <c r="J294" t="s">
        <v>51</v>
      </c>
      <c r="L294" t="s">
        <v>70</v>
      </c>
      <c r="M294" t="s">
        <v>57</v>
      </c>
      <c r="N294" t="s">
        <v>57</v>
      </c>
      <c r="O294" t="s">
        <v>54</v>
      </c>
    </row>
    <row r="295" spans="1:15" hidden="1" x14ac:dyDescent="0.35">
      <c r="A295" t="s">
        <v>834</v>
      </c>
      <c r="B295" t="s">
        <v>709</v>
      </c>
      <c r="C295" t="s">
        <v>345</v>
      </c>
      <c r="D295" t="s">
        <v>48</v>
      </c>
      <c r="E295" t="s">
        <v>49</v>
      </c>
      <c r="F295" t="s">
        <v>55</v>
      </c>
      <c r="G295" t="s">
        <v>13</v>
      </c>
      <c r="H295" t="s">
        <v>51</v>
      </c>
      <c r="I295" t="s">
        <v>52</v>
      </c>
      <c r="J295" t="s">
        <v>51</v>
      </c>
      <c r="K295" t="s">
        <v>51</v>
      </c>
      <c r="M295" t="s">
        <v>56</v>
      </c>
      <c r="N295" t="s">
        <v>56</v>
      </c>
      <c r="O295" t="s">
        <v>54</v>
      </c>
    </row>
    <row r="296" spans="1:15" hidden="1" x14ac:dyDescent="0.35">
      <c r="A296" t="s">
        <v>838</v>
      </c>
      <c r="B296" t="s">
        <v>472</v>
      </c>
      <c r="C296" t="s">
        <v>108</v>
      </c>
      <c r="D296" t="s">
        <v>48</v>
      </c>
      <c r="E296" t="s">
        <v>49</v>
      </c>
      <c r="F296" t="s">
        <v>55</v>
      </c>
      <c r="G296" t="s">
        <v>20</v>
      </c>
      <c r="H296" t="s">
        <v>52</v>
      </c>
      <c r="I296" t="s">
        <v>60</v>
      </c>
      <c r="J296" t="s">
        <v>52</v>
      </c>
      <c r="K296" t="s">
        <v>939</v>
      </c>
      <c r="M296" t="s">
        <v>61</v>
      </c>
      <c r="N296" t="s">
        <v>61</v>
      </c>
      <c r="O296" t="s">
        <v>54</v>
      </c>
    </row>
    <row r="297" spans="1:15" x14ac:dyDescent="0.35">
      <c r="A297" t="s">
        <v>928</v>
      </c>
      <c r="B297" t="s">
        <v>745</v>
      </c>
      <c r="C297" t="s">
        <v>381</v>
      </c>
      <c r="D297" t="s">
        <v>48</v>
      </c>
      <c r="E297" t="s">
        <v>49</v>
      </c>
      <c r="F297" t="s">
        <v>50</v>
      </c>
      <c r="G297" t="s">
        <v>20</v>
      </c>
      <c r="H297" t="s">
        <v>52</v>
      </c>
      <c r="I297" t="s">
        <v>52</v>
      </c>
      <c r="J297" t="s">
        <v>52</v>
      </c>
      <c r="M297" t="s">
        <v>61</v>
      </c>
      <c r="N297" t="s">
        <v>61</v>
      </c>
      <c r="O297" t="s">
        <v>54</v>
      </c>
    </row>
    <row r="298" spans="1:15" x14ac:dyDescent="0.35">
      <c r="A298" t="s">
        <v>832</v>
      </c>
      <c r="B298" t="s">
        <v>545</v>
      </c>
      <c r="C298" t="s">
        <v>181</v>
      </c>
      <c r="D298" t="s">
        <v>48</v>
      </c>
      <c r="E298" t="s">
        <v>49</v>
      </c>
      <c r="F298" t="s">
        <v>50</v>
      </c>
      <c r="G298" t="s">
        <v>17</v>
      </c>
      <c r="H298" t="s">
        <v>52</v>
      </c>
      <c r="I298" t="s">
        <v>52</v>
      </c>
      <c r="J298" t="s">
        <v>52</v>
      </c>
      <c r="M298" t="s">
        <v>59</v>
      </c>
      <c r="N298" t="s">
        <v>59</v>
      </c>
      <c r="O298" t="s">
        <v>54</v>
      </c>
    </row>
    <row r="299" spans="1:15" hidden="1" x14ac:dyDescent="0.35">
      <c r="A299" t="s">
        <v>855</v>
      </c>
      <c r="B299" t="s">
        <v>697</v>
      </c>
      <c r="C299" t="s">
        <v>333</v>
      </c>
      <c r="D299" t="s">
        <v>48</v>
      </c>
      <c r="E299" t="s">
        <v>49</v>
      </c>
      <c r="F299" t="s">
        <v>55</v>
      </c>
      <c r="G299" t="s">
        <v>19</v>
      </c>
      <c r="H299" t="s">
        <v>52</v>
      </c>
      <c r="I299" t="s">
        <v>52</v>
      </c>
      <c r="J299" t="s">
        <v>51</v>
      </c>
      <c r="M299" t="s">
        <v>57</v>
      </c>
      <c r="N299" t="s">
        <v>57</v>
      </c>
      <c r="O299" t="s">
        <v>54</v>
      </c>
    </row>
    <row r="300" spans="1:15" x14ac:dyDescent="0.35">
      <c r="A300" t="s">
        <v>870</v>
      </c>
      <c r="B300" t="s">
        <v>547</v>
      </c>
      <c r="C300" t="s">
        <v>183</v>
      </c>
      <c r="D300" t="s">
        <v>48</v>
      </c>
      <c r="E300" t="s">
        <v>49</v>
      </c>
      <c r="F300" t="s">
        <v>50</v>
      </c>
      <c r="G300" t="s">
        <v>14</v>
      </c>
      <c r="H300" t="s">
        <v>52</v>
      </c>
      <c r="I300" t="s">
        <v>60</v>
      </c>
      <c r="J300" t="s">
        <v>51</v>
      </c>
      <c r="M300" t="s">
        <v>67</v>
      </c>
      <c r="N300" t="s">
        <v>67</v>
      </c>
      <c r="O300" t="s">
        <v>54</v>
      </c>
    </row>
    <row r="301" spans="1:15" hidden="1" x14ac:dyDescent="0.35">
      <c r="A301" t="s">
        <v>891</v>
      </c>
      <c r="B301" t="s">
        <v>667</v>
      </c>
      <c r="C301" t="s">
        <v>303</v>
      </c>
      <c r="D301" t="s">
        <v>48</v>
      </c>
      <c r="E301" t="s">
        <v>49</v>
      </c>
      <c r="F301" t="s">
        <v>55</v>
      </c>
      <c r="G301" t="s">
        <v>9</v>
      </c>
      <c r="H301" t="s">
        <v>52</v>
      </c>
      <c r="I301" t="s">
        <v>52</v>
      </c>
      <c r="J301" t="s">
        <v>51</v>
      </c>
      <c r="K301" t="s">
        <v>51</v>
      </c>
      <c r="L301" t="s">
        <v>91</v>
      </c>
      <c r="M301" t="s">
        <v>63</v>
      </c>
      <c r="N301" t="s">
        <v>63</v>
      </c>
      <c r="O301" t="s">
        <v>54</v>
      </c>
    </row>
    <row r="302" spans="1:15" x14ac:dyDescent="0.35">
      <c r="A302" t="s">
        <v>881</v>
      </c>
      <c r="B302" t="s">
        <v>723</v>
      </c>
      <c r="C302" t="s">
        <v>359</v>
      </c>
      <c r="D302" t="s">
        <v>48</v>
      </c>
      <c r="E302" t="s">
        <v>49</v>
      </c>
      <c r="F302" t="s">
        <v>50</v>
      </c>
      <c r="G302" t="s">
        <v>9</v>
      </c>
      <c r="H302" t="s">
        <v>51</v>
      </c>
      <c r="I302" t="s">
        <v>52</v>
      </c>
      <c r="J302" t="s">
        <v>52</v>
      </c>
      <c r="M302" t="s">
        <v>67</v>
      </c>
      <c r="N302" t="s">
        <v>67</v>
      </c>
      <c r="O302" t="s">
        <v>54</v>
      </c>
    </row>
    <row r="303" spans="1:15" x14ac:dyDescent="0.35">
      <c r="A303" t="s">
        <v>848</v>
      </c>
      <c r="B303" t="s">
        <v>725</v>
      </c>
      <c r="C303" t="s">
        <v>361</v>
      </c>
      <c r="D303" t="s">
        <v>48</v>
      </c>
      <c r="E303" t="s">
        <v>49</v>
      </c>
      <c r="F303" t="s">
        <v>50</v>
      </c>
      <c r="G303" t="s">
        <v>29</v>
      </c>
      <c r="H303" t="s">
        <v>52</v>
      </c>
      <c r="I303" t="s">
        <v>52</v>
      </c>
      <c r="J303" t="s">
        <v>52</v>
      </c>
      <c r="M303" t="s">
        <v>56</v>
      </c>
      <c r="N303" t="s">
        <v>56</v>
      </c>
      <c r="O303" t="s">
        <v>54</v>
      </c>
    </row>
    <row r="304" spans="1:15" hidden="1" x14ac:dyDescent="0.35">
      <c r="A304" t="s">
        <v>847</v>
      </c>
      <c r="B304" t="s">
        <v>498</v>
      </c>
      <c r="C304" t="s">
        <v>134</v>
      </c>
      <c r="D304" t="s">
        <v>48</v>
      </c>
      <c r="E304" t="s">
        <v>49</v>
      </c>
      <c r="F304" t="s">
        <v>55</v>
      </c>
      <c r="G304" t="s">
        <v>9</v>
      </c>
      <c r="H304" t="s">
        <v>52</v>
      </c>
      <c r="I304" t="s">
        <v>52</v>
      </c>
      <c r="J304" t="s">
        <v>52</v>
      </c>
      <c r="M304" t="s">
        <v>67</v>
      </c>
      <c r="N304" t="s">
        <v>67</v>
      </c>
      <c r="O304" t="s">
        <v>54</v>
      </c>
    </row>
    <row r="305" spans="1:15" hidden="1" x14ac:dyDescent="0.35">
      <c r="A305" t="s">
        <v>834</v>
      </c>
      <c r="B305" t="s">
        <v>517</v>
      </c>
      <c r="C305" t="s">
        <v>153</v>
      </c>
      <c r="D305" t="s">
        <v>48</v>
      </c>
      <c r="E305" t="s">
        <v>49</v>
      </c>
      <c r="F305" t="s">
        <v>55</v>
      </c>
      <c r="G305" t="s">
        <v>26</v>
      </c>
      <c r="H305" t="s">
        <v>52</v>
      </c>
      <c r="I305" t="s">
        <v>60</v>
      </c>
      <c r="J305" t="s">
        <v>52</v>
      </c>
      <c r="M305" t="s">
        <v>56</v>
      </c>
      <c r="N305" t="s">
        <v>56</v>
      </c>
      <c r="O305" t="s">
        <v>54</v>
      </c>
    </row>
    <row r="306" spans="1:15" hidden="1" x14ac:dyDescent="0.35">
      <c r="A306" t="s">
        <v>842</v>
      </c>
      <c r="B306" t="s">
        <v>604</v>
      </c>
      <c r="C306" t="s">
        <v>240</v>
      </c>
      <c r="D306" t="s">
        <v>48</v>
      </c>
      <c r="E306" t="s">
        <v>49</v>
      </c>
      <c r="F306" t="s">
        <v>55</v>
      </c>
      <c r="G306" t="s">
        <v>32</v>
      </c>
      <c r="H306" t="s">
        <v>52</v>
      </c>
      <c r="I306" t="s">
        <v>52</v>
      </c>
      <c r="J306" t="s">
        <v>52</v>
      </c>
      <c r="M306" t="s">
        <v>57</v>
      </c>
      <c r="N306" t="s">
        <v>57</v>
      </c>
      <c r="O306" t="s">
        <v>54</v>
      </c>
    </row>
    <row r="307" spans="1:15" hidden="1" x14ac:dyDescent="0.35">
      <c r="A307" t="s">
        <v>889</v>
      </c>
      <c r="B307" t="s">
        <v>527</v>
      </c>
      <c r="C307" t="s">
        <v>163</v>
      </c>
      <c r="D307" t="s">
        <v>48</v>
      </c>
      <c r="E307" t="s">
        <v>49</v>
      </c>
      <c r="F307" t="s">
        <v>55</v>
      </c>
      <c r="G307" t="s">
        <v>26</v>
      </c>
      <c r="H307" t="s">
        <v>51</v>
      </c>
      <c r="I307" t="s">
        <v>52</v>
      </c>
      <c r="J307" t="s">
        <v>51</v>
      </c>
      <c r="K307" t="s">
        <v>51</v>
      </c>
      <c r="M307" t="s">
        <v>59</v>
      </c>
      <c r="N307" t="s">
        <v>59</v>
      </c>
      <c r="O307" t="s">
        <v>54</v>
      </c>
    </row>
    <row r="308" spans="1:15" x14ac:dyDescent="0.35">
      <c r="A308" t="s">
        <v>880</v>
      </c>
      <c r="B308" t="s">
        <v>766</v>
      </c>
      <c r="C308" t="s">
        <v>402</v>
      </c>
      <c r="D308" t="s">
        <v>48</v>
      </c>
      <c r="E308" t="s">
        <v>49</v>
      </c>
      <c r="F308" t="s">
        <v>50</v>
      </c>
      <c r="G308" t="s">
        <v>15</v>
      </c>
      <c r="H308" t="s">
        <v>52</v>
      </c>
      <c r="I308" t="s">
        <v>52</v>
      </c>
      <c r="J308" t="s">
        <v>52</v>
      </c>
      <c r="M308" t="s">
        <v>59</v>
      </c>
      <c r="N308" t="s">
        <v>59</v>
      </c>
      <c r="O308" t="s">
        <v>54</v>
      </c>
    </row>
    <row r="309" spans="1:15" x14ac:dyDescent="0.35">
      <c r="A309" t="s">
        <v>861</v>
      </c>
      <c r="B309" t="s">
        <v>679</v>
      </c>
      <c r="C309" t="s">
        <v>315</v>
      </c>
      <c r="D309" t="s">
        <v>48</v>
      </c>
      <c r="E309" t="s">
        <v>49</v>
      </c>
      <c r="F309" t="s">
        <v>50</v>
      </c>
      <c r="G309" t="s">
        <v>7</v>
      </c>
      <c r="H309" t="s">
        <v>52</v>
      </c>
      <c r="I309" t="s">
        <v>52</v>
      </c>
      <c r="J309" t="s">
        <v>52</v>
      </c>
      <c r="M309" t="s">
        <v>59</v>
      </c>
      <c r="N309" t="s">
        <v>59</v>
      </c>
      <c r="O309" t="s">
        <v>54</v>
      </c>
    </row>
    <row r="310" spans="1:15" x14ac:dyDescent="0.35">
      <c r="A310" t="s">
        <v>929</v>
      </c>
      <c r="B310" t="s">
        <v>630</v>
      </c>
      <c r="C310" t="s">
        <v>266</v>
      </c>
      <c r="D310" t="s">
        <v>48</v>
      </c>
      <c r="E310" t="s">
        <v>49</v>
      </c>
      <c r="F310" t="s">
        <v>50</v>
      </c>
      <c r="G310" t="s">
        <v>0</v>
      </c>
      <c r="H310" t="s">
        <v>52</v>
      </c>
      <c r="I310" t="s">
        <v>52</v>
      </c>
      <c r="J310" t="s">
        <v>52</v>
      </c>
      <c r="M310" t="s">
        <v>69</v>
      </c>
      <c r="N310" t="s">
        <v>69</v>
      </c>
      <c r="O310" t="s">
        <v>54</v>
      </c>
    </row>
    <row r="311" spans="1:15" x14ac:dyDescent="0.35">
      <c r="A311" t="s">
        <v>880</v>
      </c>
      <c r="B311" t="s">
        <v>763</v>
      </c>
      <c r="C311" t="s">
        <v>399</v>
      </c>
      <c r="D311" t="s">
        <v>48</v>
      </c>
      <c r="E311" t="s">
        <v>49</v>
      </c>
      <c r="F311" t="s">
        <v>50</v>
      </c>
      <c r="G311" t="s">
        <v>9</v>
      </c>
      <c r="H311" t="s">
        <v>51</v>
      </c>
      <c r="I311" t="s">
        <v>52</v>
      </c>
      <c r="J311" t="s">
        <v>51</v>
      </c>
      <c r="M311" t="s">
        <v>59</v>
      </c>
      <c r="N311" t="s">
        <v>59</v>
      </c>
      <c r="O311" t="s">
        <v>54</v>
      </c>
    </row>
    <row r="312" spans="1:15" hidden="1" x14ac:dyDescent="0.35">
      <c r="A312" t="s">
        <v>842</v>
      </c>
      <c r="B312" t="s">
        <v>478</v>
      </c>
      <c r="C312" t="s">
        <v>114</v>
      </c>
      <c r="D312" t="s">
        <v>48</v>
      </c>
      <c r="E312" t="s">
        <v>49</v>
      </c>
      <c r="F312" t="s">
        <v>55</v>
      </c>
      <c r="G312" t="s">
        <v>9</v>
      </c>
      <c r="H312" t="s">
        <v>52</v>
      </c>
      <c r="I312" t="s">
        <v>64</v>
      </c>
      <c r="J312" t="s">
        <v>52</v>
      </c>
      <c r="M312" t="s">
        <v>57</v>
      </c>
      <c r="N312" t="s">
        <v>57</v>
      </c>
      <c r="O312" t="s">
        <v>54</v>
      </c>
    </row>
    <row r="313" spans="1:15" x14ac:dyDescent="0.35">
      <c r="A313" t="s">
        <v>836</v>
      </c>
      <c r="B313" t="s">
        <v>687</v>
      </c>
      <c r="C313" t="s">
        <v>323</v>
      </c>
      <c r="D313" t="s">
        <v>48</v>
      </c>
      <c r="E313" t="s">
        <v>49</v>
      </c>
      <c r="F313" t="s">
        <v>50</v>
      </c>
      <c r="G313" t="s">
        <v>26</v>
      </c>
      <c r="H313" t="s">
        <v>52</v>
      </c>
      <c r="I313" t="s">
        <v>52</v>
      </c>
      <c r="J313" t="s">
        <v>52</v>
      </c>
      <c r="M313" t="s">
        <v>63</v>
      </c>
      <c r="N313" t="s">
        <v>63</v>
      </c>
      <c r="O313" t="s">
        <v>54</v>
      </c>
    </row>
    <row r="314" spans="1:15" x14ac:dyDescent="0.35">
      <c r="A314" t="s">
        <v>864</v>
      </c>
      <c r="B314" t="s">
        <v>699</v>
      </c>
      <c r="C314" t="s">
        <v>335</v>
      </c>
      <c r="D314" t="s">
        <v>48</v>
      </c>
      <c r="E314" t="s">
        <v>49</v>
      </c>
      <c r="F314" t="s">
        <v>50</v>
      </c>
      <c r="G314" t="s">
        <v>26</v>
      </c>
      <c r="H314" t="s">
        <v>52</v>
      </c>
      <c r="I314" t="s">
        <v>52</v>
      </c>
      <c r="J314" t="s">
        <v>52</v>
      </c>
      <c r="M314" t="s">
        <v>57</v>
      </c>
      <c r="N314" t="s">
        <v>57</v>
      </c>
      <c r="O314" t="s">
        <v>54</v>
      </c>
    </row>
    <row r="315" spans="1:15" x14ac:dyDescent="0.35">
      <c r="A315" t="s">
        <v>859</v>
      </c>
      <c r="B315" t="s">
        <v>658</v>
      </c>
      <c r="C315" t="s">
        <v>294</v>
      </c>
      <c r="D315" t="s">
        <v>48</v>
      </c>
      <c r="E315" t="s">
        <v>49</v>
      </c>
      <c r="F315" t="s">
        <v>50</v>
      </c>
      <c r="G315" t="s">
        <v>0</v>
      </c>
      <c r="H315" t="s">
        <v>52</v>
      </c>
      <c r="I315" t="s">
        <v>52</v>
      </c>
      <c r="J315" t="s">
        <v>52</v>
      </c>
      <c r="M315" t="s">
        <v>59</v>
      </c>
      <c r="N315" t="s">
        <v>59</v>
      </c>
      <c r="O315" t="s">
        <v>54</v>
      </c>
    </row>
    <row r="316" spans="1:15" x14ac:dyDescent="0.35">
      <c r="A316" t="s">
        <v>873</v>
      </c>
      <c r="B316" t="s">
        <v>818</v>
      </c>
      <c r="C316" t="s">
        <v>454</v>
      </c>
      <c r="D316" t="s">
        <v>48</v>
      </c>
      <c r="E316" t="s">
        <v>49</v>
      </c>
      <c r="F316" t="s">
        <v>50</v>
      </c>
      <c r="G316" t="s">
        <v>9</v>
      </c>
      <c r="H316" t="s">
        <v>52</v>
      </c>
      <c r="I316" t="s">
        <v>60</v>
      </c>
      <c r="J316" t="s">
        <v>51</v>
      </c>
      <c r="M316" t="s">
        <v>57</v>
      </c>
      <c r="N316" t="s">
        <v>57</v>
      </c>
      <c r="O316" t="s">
        <v>54</v>
      </c>
    </row>
    <row r="317" spans="1:15" x14ac:dyDescent="0.35">
      <c r="A317" t="s">
        <v>850</v>
      </c>
      <c r="B317" t="s">
        <v>565</v>
      </c>
      <c r="C317" t="s">
        <v>201</v>
      </c>
      <c r="D317" t="s">
        <v>48</v>
      </c>
      <c r="E317" t="s">
        <v>49</v>
      </c>
      <c r="F317" t="s">
        <v>50</v>
      </c>
      <c r="G317" t="s">
        <v>9</v>
      </c>
      <c r="H317" t="s">
        <v>52</v>
      </c>
      <c r="I317" t="s">
        <v>52</v>
      </c>
      <c r="J317" t="s">
        <v>51</v>
      </c>
      <c r="M317" t="s">
        <v>57</v>
      </c>
      <c r="N317" t="s">
        <v>57</v>
      </c>
      <c r="O317" t="s">
        <v>54</v>
      </c>
    </row>
    <row r="318" spans="1:15" x14ac:dyDescent="0.35">
      <c r="A318" t="s">
        <v>875</v>
      </c>
      <c r="B318" t="s">
        <v>764</v>
      </c>
      <c r="C318" t="s">
        <v>400</v>
      </c>
      <c r="D318" t="s">
        <v>48</v>
      </c>
      <c r="E318" t="s">
        <v>49</v>
      </c>
      <c r="F318" t="s">
        <v>50</v>
      </c>
      <c r="G318" t="s">
        <v>26</v>
      </c>
      <c r="H318" t="s">
        <v>52</v>
      </c>
      <c r="I318" t="s">
        <v>60</v>
      </c>
      <c r="J318" t="s">
        <v>52</v>
      </c>
      <c r="M318" t="s">
        <v>67</v>
      </c>
      <c r="N318" t="s">
        <v>67</v>
      </c>
      <c r="O318" t="s">
        <v>54</v>
      </c>
    </row>
    <row r="319" spans="1:15" x14ac:dyDescent="0.35">
      <c r="A319" t="s">
        <v>836</v>
      </c>
      <c r="B319" t="s">
        <v>737</v>
      </c>
      <c r="C319" t="s">
        <v>373</v>
      </c>
      <c r="D319" t="s">
        <v>48</v>
      </c>
      <c r="E319" t="s">
        <v>49</v>
      </c>
      <c r="F319" t="s">
        <v>50</v>
      </c>
      <c r="G319" t="s">
        <v>0</v>
      </c>
      <c r="H319" t="s">
        <v>52</v>
      </c>
      <c r="I319" t="s">
        <v>52</v>
      </c>
      <c r="J319" t="s">
        <v>51</v>
      </c>
      <c r="M319" t="s">
        <v>63</v>
      </c>
      <c r="N319" t="s">
        <v>63</v>
      </c>
      <c r="O319" t="s">
        <v>54</v>
      </c>
    </row>
    <row r="320" spans="1:15" hidden="1" x14ac:dyDescent="0.35">
      <c r="A320" t="s">
        <v>831</v>
      </c>
      <c r="B320" t="s">
        <v>600</v>
      </c>
      <c r="C320" t="s">
        <v>236</v>
      </c>
      <c r="D320" t="s">
        <v>48</v>
      </c>
      <c r="E320" t="s">
        <v>49</v>
      </c>
      <c r="F320" t="s">
        <v>55</v>
      </c>
      <c r="G320" t="s">
        <v>26</v>
      </c>
      <c r="H320" t="s">
        <v>52</v>
      </c>
      <c r="I320" t="s">
        <v>60</v>
      </c>
      <c r="J320" t="s">
        <v>51</v>
      </c>
      <c r="M320" t="s">
        <v>59</v>
      </c>
      <c r="N320" t="s">
        <v>59</v>
      </c>
      <c r="O320" t="s">
        <v>54</v>
      </c>
    </row>
    <row r="321" spans="1:15" hidden="1" x14ac:dyDescent="0.35">
      <c r="A321" t="s">
        <v>860</v>
      </c>
      <c r="B321" t="s">
        <v>779</v>
      </c>
      <c r="C321" t="s">
        <v>415</v>
      </c>
      <c r="D321" t="s">
        <v>48</v>
      </c>
      <c r="E321" t="s">
        <v>49</v>
      </c>
      <c r="F321" t="s">
        <v>55</v>
      </c>
      <c r="G321" t="s">
        <v>22</v>
      </c>
      <c r="H321" t="s">
        <v>52</v>
      </c>
      <c r="I321" t="s">
        <v>60</v>
      </c>
      <c r="J321" t="s">
        <v>51</v>
      </c>
      <c r="L321" t="s">
        <v>68</v>
      </c>
      <c r="M321" t="s">
        <v>63</v>
      </c>
      <c r="N321" t="s">
        <v>63</v>
      </c>
      <c r="O321" t="s">
        <v>54</v>
      </c>
    </row>
    <row r="322" spans="1:15" hidden="1" x14ac:dyDescent="0.35">
      <c r="A322" t="s">
        <v>930</v>
      </c>
      <c r="B322" t="s">
        <v>801</v>
      </c>
      <c r="C322" t="s">
        <v>437</v>
      </c>
      <c r="D322" t="s">
        <v>48</v>
      </c>
      <c r="E322" t="s">
        <v>49</v>
      </c>
      <c r="F322" t="s">
        <v>55</v>
      </c>
      <c r="G322" t="s">
        <v>5</v>
      </c>
      <c r="H322" t="s">
        <v>52</v>
      </c>
      <c r="I322" t="s">
        <v>52</v>
      </c>
      <c r="J322" t="s">
        <v>51</v>
      </c>
      <c r="M322" t="s">
        <v>66</v>
      </c>
      <c r="N322" t="s">
        <v>66</v>
      </c>
      <c r="O322" t="s">
        <v>54</v>
      </c>
    </row>
    <row r="323" spans="1:15" x14ac:dyDescent="0.35">
      <c r="A323" t="s">
        <v>877</v>
      </c>
      <c r="B323" t="s">
        <v>668</v>
      </c>
      <c r="C323" t="s">
        <v>304</v>
      </c>
      <c r="D323" t="s">
        <v>48</v>
      </c>
      <c r="E323" t="s">
        <v>49</v>
      </c>
      <c r="F323" t="s">
        <v>50</v>
      </c>
      <c r="G323" t="s">
        <v>9</v>
      </c>
      <c r="H323" t="s">
        <v>52</v>
      </c>
      <c r="I323" t="s">
        <v>52</v>
      </c>
      <c r="J323" t="s">
        <v>52</v>
      </c>
      <c r="M323" t="s">
        <v>63</v>
      </c>
      <c r="N323" t="s">
        <v>63</v>
      </c>
      <c r="O323" t="s">
        <v>54</v>
      </c>
    </row>
    <row r="324" spans="1:15" x14ac:dyDescent="0.35">
      <c r="A324" t="s">
        <v>861</v>
      </c>
      <c r="B324" t="s">
        <v>605</v>
      </c>
      <c r="C324" t="s">
        <v>241</v>
      </c>
      <c r="D324" t="s">
        <v>48</v>
      </c>
      <c r="E324" t="s">
        <v>49</v>
      </c>
      <c r="F324" t="s">
        <v>50</v>
      </c>
      <c r="G324" t="s">
        <v>8</v>
      </c>
      <c r="H324" t="s">
        <v>52</v>
      </c>
      <c r="I324" t="s">
        <v>60</v>
      </c>
      <c r="J324" t="s">
        <v>51</v>
      </c>
      <c r="K324" t="s">
        <v>51</v>
      </c>
      <c r="M324" t="s">
        <v>59</v>
      </c>
      <c r="N324" t="s">
        <v>59</v>
      </c>
      <c r="O324" t="s">
        <v>54</v>
      </c>
    </row>
    <row r="325" spans="1:15" x14ac:dyDescent="0.35">
      <c r="A325" t="s">
        <v>841</v>
      </c>
      <c r="B325" t="s">
        <v>509</v>
      </c>
      <c r="C325" t="s">
        <v>145</v>
      </c>
      <c r="D325" t="s">
        <v>48</v>
      </c>
      <c r="E325" t="s">
        <v>49</v>
      </c>
      <c r="F325" t="s">
        <v>50</v>
      </c>
      <c r="G325" t="s">
        <v>2</v>
      </c>
      <c r="H325" t="s">
        <v>52</v>
      </c>
      <c r="I325" t="s">
        <v>52</v>
      </c>
      <c r="J325" t="s">
        <v>52</v>
      </c>
      <c r="M325" t="s">
        <v>57</v>
      </c>
      <c r="N325" t="s">
        <v>57</v>
      </c>
      <c r="O325" t="s">
        <v>54</v>
      </c>
    </row>
    <row r="326" spans="1:15" hidden="1" x14ac:dyDescent="0.35">
      <c r="A326" t="s">
        <v>872</v>
      </c>
      <c r="B326" t="s">
        <v>707</v>
      </c>
      <c r="C326" t="s">
        <v>343</v>
      </c>
      <c r="D326" t="s">
        <v>48</v>
      </c>
      <c r="E326" t="s">
        <v>49</v>
      </c>
      <c r="F326" t="s">
        <v>55</v>
      </c>
      <c r="G326" t="s">
        <v>5</v>
      </c>
      <c r="H326" t="s">
        <v>52</v>
      </c>
      <c r="I326" t="s">
        <v>52</v>
      </c>
      <c r="J326" t="s">
        <v>52</v>
      </c>
      <c r="M326" t="s">
        <v>57</v>
      </c>
      <c r="N326" t="s">
        <v>57</v>
      </c>
      <c r="O326" t="s">
        <v>54</v>
      </c>
    </row>
    <row r="327" spans="1:15" hidden="1" x14ac:dyDescent="0.35">
      <c r="A327" t="s">
        <v>927</v>
      </c>
      <c r="B327" t="s">
        <v>781</v>
      </c>
      <c r="C327" t="s">
        <v>417</v>
      </c>
      <c r="D327" t="s">
        <v>48</v>
      </c>
      <c r="E327" t="s">
        <v>49</v>
      </c>
      <c r="F327" t="s">
        <v>55</v>
      </c>
      <c r="G327" t="s">
        <v>5</v>
      </c>
      <c r="H327" t="s">
        <v>52</v>
      </c>
      <c r="I327" t="s">
        <v>52</v>
      </c>
      <c r="J327" t="s">
        <v>52</v>
      </c>
      <c r="M327" t="s">
        <v>61</v>
      </c>
      <c r="N327" t="s">
        <v>61</v>
      </c>
      <c r="O327" t="s">
        <v>54</v>
      </c>
    </row>
    <row r="328" spans="1:15" x14ac:dyDescent="0.35">
      <c r="A328" t="s">
        <v>857</v>
      </c>
      <c r="B328" t="s">
        <v>782</v>
      </c>
      <c r="C328" t="s">
        <v>418</v>
      </c>
      <c r="D328" t="s">
        <v>48</v>
      </c>
      <c r="E328" t="s">
        <v>49</v>
      </c>
      <c r="F328" t="s">
        <v>50</v>
      </c>
      <c r="G328" t="s">
        <v>5</v>
      </c>
      <c r="H328" t="s">
        <v>51</v>
      </c>
      <c r="I328" t="s">
        <v>52</v>
      </c>
      <c r="J328" t="s">
        <v>51</v>
      </c>
      <c r="K328" t="s">
        <v>51</v>
      </c>
      <c r="M328" t="s">
        <v>67</v>
      </c>
      <c r="N328" t="s">
        <v>67</v>
      </c>
      <c r="O328" t="s">
        <v>54</v>
      </c>
    </row>
    <row r="329" spans="1:15" hidden="1" x14ac:dyDescent="0.35">
      <c r="A329" t="s">
        <v>893</v>
      </c>
      <c r="B329" t="s">
        <v>626</v>
      </c>
      <c r="C329" t="s">
        <v>262</v>
      </c>
      <c r="D329" t="s">
        <v>48</v>
      </c>
      <c r="E329" t="s">
        <v>49</v>
      </c>
      <c r="F329" t="s">
        <v>55</v>
      </c>
      <c r="G329" t="s">
        <v>26</v>
      </c>
      <c r="H329" t="s">
        <v>52</v>
      </c>
      <c r="I329" t="s">
        <v>52</v>
      </c>
      <c r="J329" t="s">
        <v>52</v>
      </c>
      <c r="M329" t="s">
        <v>67</v>
      </c>
      <c r="N329" t="s">
        <v>67</v>
      </c>
      <c r="O329" t="s">
        <v>54</v>
      </c>
    </row>
    <row r="330" spans="1:15" x14ac:dyDescent="0.35">
      <c r="A330" t="s">
        <v>877</v>
      </c>
      <c r="B330" t="s">
        <v>577</v>
      </c>
      <c r="C330" t="s">
        <v>213</v>
      </c>
      <c r="D330" t="s">
        <v>48</v>
      </c>
      <c r="E330" t="s">
        <v>49</v>
      </c>
      <c r="F330" t="s">
        <v>50</v>
      </c>
      <c r="G330" t="s">
        <v>26</v>
      </c>
      <c r="H330" t="s">
        <v>52</v>
      </c>
      <c r="I330" t="s">
        <v>52</v>
      </c>
      <c r="J330" t="s">
        <v>52</v>
      </c>
      <c r="M330" t="s">
        <v>63</v>
      </c>
      <c r="N330" t="s">
        <v>63</v>
      </c>
      <c r="O330" t="s">
        <v>54</v>
      </c>
    </row>
    <row r="331" spans="1:15" x14ac:dyDescent="0.35">
      <c r="A331" t="s">
        <v>843</v>
      </c>
      <c r="B331" t="s">
        <v>609</v>
      </c>
      <c r="C331" t="s">
        <v>245</v>
      </c>
      <c r="D331" t="s">
        <v>48</v>
      </c>
      <c r="E331" t="s">
        <v>49</v>
      </c>
      <c r="F331" t="s">
        <v>50</v>
      </c>
      <c r="G331" t="s">
        <v>9</v>
      </c>
      <c r="H331" t="s">
        <v>52</v>
      </c>
      <c r="I331" t="s">
        <v>52</v>
      </c>
      <c r="J331" t="s">
        <v>52</v>
      </c>
      <c r="M331" t="s">
        <v>67</v>
      </c>
      <c r="N331" t="s">
        <v>67</v>
      </c>
      <c r="O331" t="s">
        <v>54</v>
      </c>
    </row>
    <row r="332" spans="1:15" hidden="1" x14ac:dyDescent="0.35">
      <c r="A332" t="s">
        <v>838</v>
      </c>
      <c r="B332" t="s">
        <v>653</v>
      </c>
      <c r="C332" t="s">
        <v>289</v>
      </c>
      <c r="D332" t="s">
        <v>48</v>
      </c>
      <c r="E332" t="s">
        <v>49</v>
      </c>
      <c r="F332" t="s">
        <v>55</v>
      </c>
      <c r="G332" t="s">
        <v>9</v>
      </c>
      <c r="H332" t="s">
        <v>52</v>
      </c>
      <c r="I332" t="s">
        <v>52</v>
      </c>
      <c r="J332" t="s">
        <v>51</v>
      </c>
      <c r="K332" t="s">
        <v>51</v>
      </c>
      <c r="L332" t="s">
        <v>91</v>
      </c>
      <c r="M332" t="s">
        <v>61</v>
      </c>
      <c r="N332" t="s">
        <v>61</v>
      </c>
      <c r="O332" t="s">
        <v>54</v>
      </c>
    </row>
    <row r="333" spans="1:15" hidden="1" x14ac:dyDescent="0.35">
      <c r="A333" t="s">
        <v>931</v>
      </c>
      <c r="B333" t="s">
        <v>587</v>
      </c>
      <c r="C333" t="s">
        <v>223</v>
      </c>
      <c r="D333" t="s">
        <v>48</v>
      </c>
      <c r="E333" t="s">
        <v>49</v>
      </c>
      <c r="F333" t="s">
        <v>55</v>
      </c>
      <c r="G333" t="s">
        <v>9</v>
      </c>
      <c r="H333" t="s">
        <v>52</v>
      </c>
      <c r="I333" t="s">
        <v>60</v>
      </c>
      <c r="J333" t="s">
        <v>51</v>
      </c>
      <c r="K333" t="s">
        <v>51</v>
      </c>
      <c r="L333" t="s">
        <v>76</v>
      </c>
      <c r="M333" t="s">
        <v>61</v>
      </c>
      <c r="N333" t="s">
        <v>61</v>
      </c>
      <c r="O333" t="s">
        <v>54</v>
      </c>
    </row>
    <row r="334" spans="1:15" hidden="1" x14ac:dyDescent="0.35">
      <c r="A334" t="s">
        <v>932</v>
      </c>
      <c r="B334" t="s">
        <v>551</v>
      </c>
      <c r="C334" t="s">
        <v>187</v>
      </c>
      <c r="D334" t="s">
        <v>48</v>
      </c>
      <c r="E334" t="s">
        <v>49</v>
      </c>
      <c r="F334" t="s">
        <v>55</v>
      </c>
      <c r="G334" t="s">
        <v>29</v>
      </c>
      <c r="H334" t="s">
        <v>51</v>
      </c>
      <c r="I334" t="s">
        <v>60</v>
      </c>
      <c r="J334" t="s">
        <v>51</v>
      </c>
      <c r="K334" t="s">
        <v>51</v>
      </c>
      <c r="M334" t="s">
        <v>73</v>
      </c>
      <c r="N334" t="s">
        <v>73</v>
      </c>
      <c r="O334" t="s">
        <v>54</v>
      </c>
    </row>
    <row r="335" spans="1:15" x14ac:dyDescent="0.35">
      <c r="A335" t="s">
        <v>846</v>
      </c>
      <c r="B335" t="s">
        <v>700</v>
      </c>
      <c r="C335" t="s">
        <v>336</v>
      </c>
      <c r="D335" t="s">
        <v>48</v>
      </c>
      <c r="E335" t="s">
        <v>49</v>
      </c>
      <c r="F335" t="s">
        <v>50</v>
      </c>
      <c r="G335" t="s">
        <v>9</v>
      </c>
      <c r="H335" t="s">
        <v>52</v>
      </c>
      <c r="I335" t="s">
        <v>52</v>
      </c>
      <c r="J335" t="s">
        <v>51</v>
      </c>
      <c r="M335" t="s">
        <v>57</v>
      </c>
      <c r="N335" t="s">
        <v>57</v>
      </c>
      <c r="O335" t="s">
        <v>54</v>
      </c>
    </row>
    <row r="336" spans="1:15" x14ac:dyDescent="0.35">
      <c r="A336" t="s">
        <v>841</v>
      </c>
      <c r="B336" t="s">
        <v>567</v>
      </c>
      <c r="C336" t="s">
        <v>203</v>
      </c>
      <c r="D336" t="s">
        <v>48</v>
      </c>
      <c r="E336" t="s">
        <v>49</v>
      </c>
      <c r="F336" t="s">
        <v>50</v>
      </c>
      <c r="G336" t="s">
        <v>5</v>
      </c>
      <c r="H336" t="s">
        <v>52</v>
      </c>
      <c r="I336" t="s">
        <v>52</v>
      </c>
      <c r="J336" t="s">
        <v>52</v>
      </c>
      <c r="M336" t="s">
        <v>57</v>
      </c>
      <c r="N336" t="s">
        <v>57</v>
      </c>
      <c r="O336" t="s">
        <v>54</v>
      </c>
    </row>
    <row r="337" spans="1:15" hidden="1" x14ac:dyDescent="0.35">
      <c r="A337" t="s">
        <v>842</v>
      </c>
      <c r="B337" t="s">
        <v>476</v>
      </c>
      <c r="C337" t="s">
        <v>112</v>
      </c>
      <c r="D337" t="s">
        <v>48</v>
      </c>
      <c r="E337" t="s">
        <v>49</v>
      </c>
      <c r="F337" t="s">
        <v>55</v>
      </c>
      <c r="G337" t="s">
        <v>18</v>
      </c>
      <c r="H337" t="s">
        <v>52</v>
      </c>
      <c r="I337" t="s">
        <v>52</v>
      </c>
      <c r="J337" t="s">
        <v>52</v>
      </c>
      <c r="M337" t="s">
        <v>57</v>
      </c>
      <c r="N337" t="s">
        <v>57</v>
      </c>
      <c r="O337" t="s">
        <v>54</v>
      </c>
    </row>
    <row r="338" spans="1:15" x14ac:dyDescent="0.35">
      <c r="A338" t="s">
        <v>841</v>
      </c>
      <c r="B338" t="s">
        <v>706</v>
      </c>
      <c r="C338" t="s">
        <v>342</v>
      </c>
      <c r="D338" t="s">
        <v>48</v>
      </c>
      <c r="E338" t="s">
        <v>49</v>
      </c>
      <c r="F338" t="s">
        <v>50</v>
      </c>
      <c r="G338" t="s">
        <v>13</v>
      </c>
      <c r="H338" t="s">
        <v>52</v>
      </c>
      <c r="I338" t="s">
        <v>52</v>
      </c>
      <c r="J338" t="s">
        <v>52</v>
      </c>
      <c r="M338" t="s">
        <v>57</v>
      </c>
      <c r="N338" t="s">
        <v>57</v>
      </c>
      <c r="O338" t="s">
        <v>54</v>
      </c>
    </row>
    <row r="339" spans="1:15" x14ac:dyDescent="0.35">
      <c r="A339" t="s">
        <v>933</v>
      </c>
      <c r="B339" t="s">
        <v>652</v>
      </c>
      <c r="C339" t="s">
        <v>288</v>
      </c>
      <c r="D339" t="s">
        <v>48</v>
      </c>
      <c r="E339" t="s">
        <v>49</v>
      </c>
      <c r="F339" t="s">
        <v>50</v>
      </c>
      <c r="G339" t="s">
        <v>5</v>
      </c>
      <c r="H339" t="s">
        <v>51</v>
      </c>
      <c r="I339" t="s">
        <v>52</v>
      </c>
      <c r="J339" t="s">
        <v>51</v>
      </c>
      <c r="K339" t="s">
        <v>51</v>
      </c>
      <c r="M339" t="s">
        <v>90</v>
      </c>
      <c r="N339" t="s">
        <v>90</v>
      </c>
      <c r="O339" t="s">
        <v>54</v>
      </c>
    </row>
    <row r="340" spans="1:15" x14ac:dyDescent="0.35">
      <c r="A340" t="s">
        <v>881</v>
      </c>
      <c r="B340" t="s">
        <v>655</v>
      </c>
      <c r="C340" t="s">
        <v>291</v>
      </c>
      <c r="D340" t="s">
        <v>48</v>
      </c>
      <c r="E340" t="s">
        <v>49</v>
      </c>
      <c r="F340" t="s">
        <v>50</v>
      </c>
      <c r="G340" t="s">
        <v>9</v>
      </c>
      <c r="H340" t="s">
        <v>52</v>
      </c>
      <c r="I340" t="s">
        <v>52</v>
      </c>
      <c r="J340" t="s">
        <v>51</v>
      </c>
      <c r="M340" t="s">
        <v>67</v>
      </c>
      <c r="N340" t="s">
        <v>67</v>
      </c>
      <c r="O340" t="s">
        <v>54</v>
      </c>
    </row>
    <row r="341" spans="1:15" hidden="1" x14ac:dyDescent="0.35">
      <c r="A341" t="s">
        <v>860</v>
      </c>
      <c r="B341" t="s">
        <v>814</v>
      </c>
      <c r="C341" t="s">
        <v>450</v>
      </c>
      <c r="D341" t="s">
        <v>48</v>
      </c>
      <c r="E341" t="s">
        <v>49</v>
      </c>
      <c r="F341" t="s">
        <v>55</v>
      </c>
      <c r="G341" t="s">
        <v>5</v>
      </c>
      <c r="H341" t="s">
        <v>52</v>
      </c>
      <c r="I341" t="s">
        <v>52</v>
      </c>
      <c r="J341" t="s">
        <v>52</v>
      </c>
      <c r="M341" t="s">
        <v>63</v>
      </c>
      <c r="N341" t="s">
        <v>63</v>
      </c>
      <c r="O341" t="s">
        <v>54</v>
      </c>
    </row>
    <row r="342" spans="1:15" hidden="1" x14ac:dyDescent="0.35">
      <c r="A342" t="s">
        <v>891</v>
      </c>
      <c r="B342" t="s">
        <v>544</v>
      </c>
      <c r="C342" t="s">
        <v>180</v>
      </c>
      <c r="D342" t="s">
        <v>48</v>
      </c>
      <c r="E342" t="s">
        <v>49</v>
      </c>
      <c r="F342" t="s">
        <v>55</v>
      </c>
      <c r="G342" t="s">
        <v>29</v>
      </c>
      <c r="H342" t="s">
        <v>52</v>
      </c>
      <c r="I342" t="s">
        <v>52</v>
      </c>
      <c r="J342" t="s">
        <v>52</v>
      </c>
      <c r="M342" t="s">
        <v>63</v>
      </c>
      <c r="N342" t="s">
        <v>63</v>
      </c>
      <c r="O342" t="s">
        <v>54</v>
      </c>
    </row>
    <row r="343" spans="1:15" x14ac:dyDescent="0.35">
      <c r="A343" t="s">
        <v>850</v>
      </c>
      <c r="B343" t="s">
        <v>750</v>
      </c>
      <c r="C343" t="s">
        <v>386</v>
      </c>
      <c r="D343" t="s">
        <v>48</v>
      </c>
      <c r="E343" t="s">
        <v>49</v>
      </c>
      <c r="F343" t="s">
        <v>50</v>
      </c>
      <c r="G343" t="s">
        <v>25</v>
      </c>
      <c r="H343" t="s">
        <v>52</v>
      </c>
      <c r="I343" t="s">
        <v>52</v>
      </c>
      <c r="J343" t="s">
        <v>51</v>
      </c>
      <c r="M343" t="s">
        <v>57</v>
      </c>
      <c r="N343" t="s">
        <v>57</v>
      </c>
      <c r="O343" t="s">
        <v>54</v>
      </c>
    </row>
    <row r="344" spans="1:15" hidden="1" x14ac:dyDescent="0.35">
      <c r="A344" t="s">
        <v>851</v>
      </c>
      <c r="B344" t="s">
        <v>675</v>
      </c>
      <c r="C344" t="s">
        <v>311</v>
      </c>
      <c r="D344" t="s">
        <v>48</v>
      </c>
      <c r="E344" t="s">
        <v>49</v>
      </c>
      <c r="F344" t="s">
        <v>55</v>
      </c>
      <c r="G344" t="s">
        <v>20</v>
      </c>
      <c r="H344" t="s">
        <v>52</v>
      </c>
      <c r="I344" t="s">
        <v>52</v>
      </c>
      <c r="J344" t="s">
        <v>52</v>
      </c>
      <c r="M344" t="s">
        <v>67</v>
      </c>
      <c r="N344" t="s">
        <v>67</v>
      </c>
      <c r="O344" t="s">
        <v>54</v>
      </c>
    </row>
    <row r="345" spans="1:15" hidden="1" x14ac:dyDescent="0.35">
      <c r="A345" t="s">
        <v>831</v>
      </c>
      <c r="B345" t="s">
        <v>685</v>
      </c>
      <c r="C345" t="s">
        <v>321</v>
      </c>
      <c r="D345" t="s">
        <v>48</v>
      </c>
      <c r="E345" t="s">
        <v>49</v>
      </c>
      <c r="F345" t="s">
        <v>55</v>
      </c>
      <c r="G345" t="s">
        <v>21</v>
      </c>
      <c r="H345" t="s">
        <v>52</v>
      </c>
      <c r="I345" t="s">
        <v>52</v>
      </c>
      <c r="J345" t="s">
        <v>52</v>
      </c>
      <c r="M345" t="s">
        <v>59</v>
      </c>
      <c r="N345" t="s">
        <v>59</v>
      </c>
      <c r="O345" t="s">
        <v>54</v>
      </c>
    </row>
    <row r="346" spans="1:15" x14ac:dyDescent="0.35">
      <c r="A346" t="s">
        <v>906</v>
      </c>
      <c r="B346" t="s">
        <v>593</v>
      </c>
      <c r="C346" t="s">
        <v>229</v>
      </c>
      <c r="D346" t="s">
        <v>48</v>
      </c>
      <c r="E346" t="s">
        <v>49</v>
      </c>
      <c r="F346" t="s">
        <v>50</v>
      </c>
      <c r="G346" t="s">
        <v>9</v>
      </c>
      <c r="H346" t="s">
        <v>52</v>
      </c>
      <c r="I346" t="s">
        <v>60</v>
      </c>
      <c r="J346" t="s">
        <v>52</v>
      </c>
      <c r="M346" t="s">
        <v>56</v>
      </c>
      <c r="N346" t="s">
        <v>56</v>
      </c>
      <c r="O346" t="s">
        <v>54</v>
      </c>
    </row>
    <row r="347" spans="1:15" hidden="1" x14ac:dyDescent="0.35">
      <c r="A347" t="s">
        <v>839</v>
      </c>
      <c r="B347" t="s">
        <v>625</v>
      </c>
      <c r="C347" t="s">
        <v>261</v>
      </c>
      <c r="D347" t="s">
        <v>48</v>
      </c>
      <c r="E347" t="s">
        <v>49</v>
      </c>
      <c r="F347" t="s">
        <v>55</v>
      </c>
      <c r="G347" t="s">
        <v>10</v>
      </c>
      <c r="H347" t="s">
        <v>51</v>
      </c>
      <c r="I347" t="s">
        <v>52</v>
      </c>
      <c r="J347" t="s">
        <v>52</v>
      </c>
      <c r="M347" t="s">
        <v>59</v>
      </c>
      <c r="N347" t="s">
        <v>59</v>
      </c>
      <c r="O347" t="s">
        <v>54</v>
      </c>
    </row>
    <row r="348" spans="1:15" hidden="1" x14ac:dyDescent="0.35">
      <c r="A348" t="s">
        <v>855</v>
      </c>
      <c r="B348" t="s">
        <v>711</v>
      </c>
      <c r="C348" t="s">
        <v>347</v>
      </c>
      <c r="D348" t="s">
        <v>48</v>
      </c>
      <c r="E348" t="s">
        <v>49</v>
      </c>
      <c r="F348" t="s">
        <v>55</v>
      </c>
      <c r="G348" t="s">
        <v>31</v>
      </c>
      <c r="H348" t="s">
        <v>52</v>
      </c>
      <c r="I348" t="s">
        <v>52</v>
      </c>
      <c r="J348" t="s">
        <v>52</v>
      </c>
      <c r="M348" t="s">
        <v>57</v>
      </c>
      <c r="N348" t="s">
        <v>57</v>
      </c>
      <c r="O348" t="s">
        <v>54</v>
      </c>
    </row>
    <row r="349" spans="1:15" x14ac:dyDescent="0.35">
      <c r="A349" t="s">
        <v>934</v>
      </c>
      <c r="B349" t="s">
        <v>616</v>
      </c>
      <c r="C349" t="s">
        <v>252</v>
      </c>
      <c r="D349" t="s">
        <v>48</v>
      </c>
      <c r="E349" t="s">
        <v>49</v>
      </c>
      <c r="F349" t="s">
        <v>50</v>
      </c>
      <c r="G349" t="s">
        <v>5</v>
      </c>
      <c r="H349" t="s">
        <v>52</v>
      </c>
      <c r="I349" t="s">
        <v>52</v>
      </c>
      <c r="J349" t="s">
        <v>52</v>
      </c>
      <c r="M349" t="s">
        <v>85</v>
      </c>
      <c r="N349" t="s">
        <v>85</v>
      </c>
      <c r="O349" t="s">
        <v>54</v>
      </c>
    </row>
    <row r="350" spans="1:15" x14ac:dyDescent="0.35">
      <c r="A350" t="s">
        <v>832</v>
      </c>
      <c r="B350" t="s">
        <v>811</v>
      </c>
      <c r="C350" t="s">
        <v>447</v>
      </c>
      <c r="D350" t="s">
        <v>48</v>
      </c>
      <c r="E350" t="s">
        <v>49</v>
      </c>
      <c r="F350" t="s">
        <v>50</v>
      </c>
      <c r="G350" t="s">
        <v>26</v>
      </c>
      <c r="H350" t="s">
        <v>52</v>
      </c>
      <c r="I350" t="s">
        <v>52</v>
      </c>
      <c r="J350" t="s">
        <v>51</v>
      </c>
      <c r="M350" t="s">
        <v>59</v>
      </c>
      <c r="N350" t="s">
        <v>59</v>
      </c>
      <c r="O350" t="s">
        <v>54</v>
      </c>
    </row>
    <row r="351" spans="1:15" x14ac:dyDescent="0.35">
      <c r="A351" t="s">
        <v>935</v>
      </c>
      <c r="B351" t="s">
        <v>651</v>
      </c>
      <c r="C351" t="s">
        <v>287</v>
      </c>
      <c r="D351" t="s">
        <v>48</v>
      </c>
      <c r="E351" t="s">
        <v>49</v>
      </c>
      <c r="F351" t="s">
        <v>50</v>
      </c>
      <c r="G351" t="s">
        <v>5</v>
      </c>
      <c r="H351" t="s">
        <v>52</v>
      </c>
      <c r="I351" t="s">
        <v>52</v>
      </c>
      <c r="J351" t="s">
        <v>51</v>
      </c>
      <c r="M351" t="s">
        <v>74</v>
      </c>
      <c r="N351" t="s">
        <v>74</v>
      </c>
      <c r="O351" t="s">
        <v>54</v>
      </c>
    </row>
    <row r="352" spans="1:15" x14ac:dyDescent="0.35">
      <c r="A352" t="s">
        <v>844</v>
      </c>
      <c r="B352" t="s">
        <v>736</v>
      </c>
      <c r="C352" t="s">
        <v>372</v>
      </c>
      <c r="D352" t="s">
        <v>48</v>
      </c>
      <c r="E352" t="s">
        <v>49</v>
      </c>
      <c r="F352" t="s">
        <v>50</v>
      </c>
      <c r="G352" t="s">
        <v>29</v>
      </c>
      <c r="H352" t="s">
        <v>52</v>
      </c>
      <c r="I352" t="s">
        <v>52</v>
      </c>
      <c r="J352" t="s">
        <v>52</v>
      </c>
      <c r="M352" t="s">
        <v>63</v>
      </c>
      <c r="N352" t="s">
        <v>63</v>
      </c>
      <c r="O352" t="s">
        <v>54</v>
      </c>
    </row>
    <row r="353" spans="1:15" x14ac:dyDescent="0.35">
      <c r="A353" t="s">
        <v>900</v>
      </c>
      <c r="B353" t="s">
        <v>793</v>
      </c>
      <c r="C353" t="s">
        <v>429</v>
      </c>
      <c r="D353" t="s">
        <v>48</v>
      </c>
      <c r="E353" t="s">
        <v>49</v>
      </c>
      <c r="F353" t="s">
        <v>50</v>
      </c>
      <c r="G353" t="s">
        <v>26</v>
      </c>
      <c r="H353" t="s">
        <v>51</v>
      </c>
      <c r="I353" t="s">
        <v>52</v>
      </c>
      <c r="J353" t="s">
        <v>51</v>
      </c>
      <c r="K353" t="s">
        <v>58</v>
      </c>
      <c r="M353" t="s">
        <v>69</v>
      </c>
      <c r="N353" t="s">
        <v>69</v>
      </c>
      <c r="O353" t="s">
        <v>54</v>
      </c>
    </row>
    <row r="354" spans="1:15" x14ac:dyDescent="0.35">
      <c r="A354" t="s">
        <v>836</v>
      </c>
      <c r="B354" t="s">
        <v>647</v>
      </c>
      <c r="C354" t="s">
        <v>283</v>
      </c>
      <c r="D354" t="s">
        <v>48</v>
      </c>
      <c r="E354" t="s">
        <v>49</v>
      </c>
      <c r="F354" t="s">
        <v>50</v>
      </c>
      <c r="G354" t="s">
        <v>14</v>
      </c>
      <c r="H354" t="s">
        <v>52</v>
      </c>
      <c r="I354" t="s">
        <v>52</v>
      </c>
      <c r="J354" t="s">
        <v>52</v>
      </c>
      <c r="M354" t="s">
        <v>63</v>
      </c>
      <c r="N354" t="s">
        <v>63</v>
      </c>
      <c r="O354" t="s">
        <v>54</v>
      </c>
    </row>
    <row r="355" spans="1:15" hidden="1" x14ac:dyDescent="0.35">
      <c r="A355" t="s">
        <v>898</v>
      </c>
      <c r="B355" t="s">
        <v>539</v>
      </c>
      <c r="C355" t="s">
        <v>175</v>
      </c>
      <c r="D355" t="s">
        <v>48</v>
      </c>
      <c r="E355" t="s">
        <v>49</v>
      </c>
      <c r="F355" t="s">
        <v>55</v>
      </c>
      <c r="G355" t="s">
        <v>19</v>
      </c>
      <c r="H355" t="s">
        <v>52</v>
      </c>
      <c r="I355" t="s">
        <v>60</v>
      </c>
      <c r="J355" t="s">
        <v>51</v>
      </c>
      <c r="M355" t="s">
        <v>61</v>
      </c>
      <c r="N355" t="s">
        <v>61</v>
      </c>
      <c r="O355" t="s">
        <v>54</v>
      </c>
    </row>
    <row r="356" spans="1:15" x14ac:dyDescent="0.35">
      <c r="A356" t="s">
        <v>870</v>
      </c>
      <c r="B356" t="s">
        <v>765</v>
      </c>
      <c r="C356" t="s">
        <v>401</v>
      </c>
      <c r="D356" t="s">
        <v>48</v>
      </c>
      <c r="E356" t="s">
        <v>49</v>
      </c>
      <c r="F356" t="s">
        <v>50</v>
      </c>
      <c r="G356" t="s">
        <v>9</v>
      </c>
      <c r="H356" t="s">
        <v>52</v>
      </c>
      <c r="I356" t="s">
        <v>52</v>
      </c>
      <c r="J356" t="s">
        <v>52</v>
      </c>
      <c r="M356" t="s">
        <v>67</v>
      </c>
      <c r="N356" t="s">
        <v>67</v>
      </c>
      <c r="O356" t="s">
        <v>54</v>
      </c>
    </row>
    <row r="357" spans="1:15" hidden="1" x14ac:dyDescent="0.35">
      <c r="A357" t="s">
        <v>891</v>
      </c>
      <c r="B357" t="s">
        <v>581</v>
      </c>
      <c r="C357" t="s">
        <v>217</v>
      </c>
      <c r="D357" t="s">
        <v>48</v>
      </c>
      <c r="E357" t="s">
        <v>49</v>
      </c>
      <c r="F357" t="s">
        <v>55</v>
      </c>
      <c r="G357" t="s">
        <v>26</v>
      </c>
      <c r="H357" t="s">
        <v>52</v>
      </c>
      <c r="I357" t="s">
        <v>52</v>
      </c>
      <c r="J357" t="s">
        <v>52</v>
      </c>
      <c r="M357" t="s">
        <v>63</v>
      </c>
      <c r="N357" t="s">
        <v>63</v>
      </c>
      <c r="O357" t="s">
        <v>54</v>
      </c>
    </row>
    <row r="358" spans="1:15" hidden="1" x14ac:dyDescent="0.35">
      <c r="A358" t="s">
        <v>833</v>
      </c>
      <c r="B358" t="s">
        <v>753</v>
      </c>
      <c r="C358" t="s">
        <v>389</v>
      </c>
      <c r="D358" t="s">
        <v>48</v>
      </c>
      <c r="E358" t="s">
        <v>49</v>
      </c>
      <c r="F358" t="s">
        <v>55</v>
      </c>
      <c r="G358" t="s">
        <v>5</v>
      </c>
      <c r="H358" t="s">
        <v>51</v>
      </c>
      <c r="I358" t="s">
        <v>60</v>
      </c>
      <c r="J358" t="s">
        <v>51</v>
      </c>
      <c r="M358" t="s">
        <v>59</v>
      </c>
      <c r="N358" t="s">
        <v>59</v>
      </c>
      <c r="O358" t="s">
        <v>54</v>
      </c>
    </row>
    <row r="359" spans="1:15" x14ac:dyDescent="0.35">
      <c r="A359" t="s">
        <v>867</v>
      </c>
      <c r="B359" t="s">
        <v>537</v>
      </c>
      <c r="C359" t="s">
        <v>173</v>
      </c>
      <c r="D359" t="s">
        <v>48</v>
      </c>
      <c r="E359" t="s">
        <v>49</v>
      </c>
      <c r="F359" t="s">
        <v>50</v>
      </c>
      <c r="G359" t="s">
        <v>9</v>
      </c>
      <c r="H359" t="s">
        <v>52</v>
      </c>
      <c r="I359" t="s">
        <v>52</v>
      </c>
      <c r="J359" t="s">
        <v>52</v>
      </c>
      <c r="M359" t="s">
        <v>63</v>
      </c>
      <c r="N359" t="s">
        <v>63</v>
      </c>
      <c r="O359" t="s">
        <v>54</v>
      </c>
    </row>
    <row r="360" spans="1:15" hidden="1" x14ac:dyDescent="0.35">
      <c r="A360" t="s">
        <v>833</v>
      </c>
      <c r="B360" t="s">
        <v>758</v>
      </c>
      <c r="C360" t="s">
        <v>394</v>
      </c>
      <c r="D360" t="s">
        <v>48</v>
      </c>
      <c r="E360" t="s">
        <v>49</v>
      </c>
      <c r="F360" t="s">
        <v>55</v>
      </c>
      <c r="G360" t="s">
        <v>9</v>
      </c>
      <c r="H360" t="s">
        <v>52</v>
      </c>
      <c r="I360" t="s">
        <v>52</v>
      </c>
      <c r="J360" t="s">
        <v>52</v>
      </c>
      <c r="M360" t="s">
        <v>59</v>
      </c>
      <c r="N360" t="s">
        <v>59</v>
      </c>
      <c r="O360" t="s">
        <v>54</v>
      </c>
    </row>
    <row r="361" spans="1:15" hidden="1" x14ac:dyDescent="0.35">
      <c r="A361" t="s">
        <v>936</v>
      </c>
      <c r="B361" t="s">
        <v>819</v>
      </c>
      <c r="C361" t="s">
        <v>455</v>
      </c>
      <c r="D361" t="s">
        <v>48</v>
      </c>
      <c r="E361" t="s">
        <v>49</v>
      </c>
      <c r="F361" t="s">
        <v>55</v>
      </c>
      <c r="G361" t="s">
        <v>17</v>
      </c>
      <c r="H361" t="s">
        <v>52</v>
      </c>
      <c r="I361" t="s">
        <v>60</v>
      </c>
      <c r="J361" t="s">
        <v>52</v>
      </c>
      <c r="M361" t="s">
        <v>66</v>
      </c>
      <c r="N361" t="s">
        <v>66</v>
      </c>
      <c r="O361" t="s">
        <v>54</v>
      </c>
    </row>
    <row r="362" spans="1:15" x14ac:dyDescent="0.35">
      <c r="A362" t="s">
        <v>937</v>
      </c>
      <c r="B362" t="s">
        <v>748</v>
      </c>
      <c r="C362" t="s">
        <v>384</v>
      </c>
      <c r="D362" t="s">
        <v>48</v>
      </c>
      <c r="E362" t="s">
        <v>49</v>
      </c>
      <c r="F362" t="s">
        <v>50</v>
      </c>
      <c r="G362" t="s">
        <v>26</v>
      </c>
      <c r="H362" t="s">
        <v>51</v>
      </c>
      <c r="I362" t="s">
        <v>52</v>
      </c>
      <c r="J362" t="s">
        <v>51</v>
      </c>
      <c r="M362" t="s">
        <v>77</v>
      </c>
      <c r="N362" t="s">
        <v>77</v>
      </c>
      <c r="O362" t="s">
        <v>54</v>
      </c>
    </row>
    <row r="363" spans="1:15" x14ac:dyDescent="0.35">
      <c r="A363" t="s">
        <v>913</v>
      </c>
      <c r="B363" t="s">
        <v>560</v>
      </c>
      <c r="C363" t="s">
        <v>196</v>
      </c>
      <c r="D363" t="s">
        <v>48</v>
      </c>
      <c r="E363" t="s">
        <v>49</v>
      </c>
      <c r="F363" t="s">
        <v>50</v>
      </c>
      <c r="G363" t="s">
        <v>17</v>
      </c>
      <c r="H363" t="s">
        <v>52</v>
      </c>
      <c r="I363" t="s">
        <v>52</v>
      </c>
      <c r="J363" t="s">
        <v>51</v>
      </c>
      <c r="K363" t="s">
        <v>51</v>
      </c>
      <c r="M363" t="s">
        <v>75</v>
      </c>
      <c r="N363" t="s">
        <v>75</v>
      </c>
      <c r="O363" t="s">
        <v>54</v>
      </c>
    </row>
    <row r="364" spans="1:15" hidden="1" x14ac:dyDescent="0.35">
      <c r="A364" t="s">
        <v>938</v>
      </c>
      <c r="B364" t="s">
        <v>776</v>
      </c>
      <c r="C364" t="s">
        <v>412</v>
      </c>
      <c r="D364" t="s">
        <v>48</v>
      </c>
      <c r="E364" t="s">
        <v>49</v>
      </c>
      <c r="F364" t="s">
        <v>55</v>
      </c>
      <c r="G364" t="s">
        <v>17</v>
      </c>
      <c r="H364" t="s">
        <v>52</v>
      </c>
      <c r="I364" t="s">
        <v>52</v>
      </c>
      <c r="J364" t="s">
        <v>51</v>
      </c>
      <c r="K364" t="s">
        <v>51</v>
      </c>
      <c r="M364" t="s">
        <v>84</v>
      </c>
      <c r="N364" t="s">
        <v>84</v>
      </c>
      <c r="O364" t="s">
        <v>54</v>
      </c>
    </row>
    <row r="365" spans="1:15" x14ac:dyDescent="0.35">
      <c r="A365" t="s">
        <v>846</v>
      </c>
      <c r="B365" t="s">
        <v>662</v>
      </c>
      <c r="C365" t="s">
        <v>298</v>
      </c>
      <c r="D365" t="s">
        <v>48</v>
      </c>
      <c r="E365" t="s">
        <v>49</v>
      </c>
      <c r="F365" t="s">
        <v>50</v>
      </c>
      <c r="G365" t="s">
        <v>8</v>
      </c>
      <c r="H365" t="s">
        <v>51</v>
      </c>
      <c r="I365" t="s">
        <v>52</v>
      </c>
      <c r="J365" t="s">
        <v>51</v>
      </c>
      <c r="K365" t="s">
        <v>51</v>
      </c>
      <c r="M365" t="s">
        <v>57</v>
      </c>
      <c r="N365" t="s">
        <v>57</v>
      </c>
      <c r="O365" t="s">
        <v>54</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97576-4154-4F00-B3C2-9F3BAC8287E7}">
  <sheetPr>
    <tabColor rgb="FF5E0009"/>
  </sheetPr>
  <dimension ref="A3:S48"/>
  <sheetViews>
    <sheetView workbookViewId="0">
      <selection activeCell="P12" sqref="P12"/>
    </sheetView>
  </sheetViews>
  <sheetFormatPr defaultRowHeight="14.5" x14ac:dyDescent="0.35"/>
  <cols>
    <col min="1" max="1" width="12.90625" bestFit="1" customWidth="1"/>
    <col min="2" max="2" width="7.36328125" bestFit="1" customWidth="1"/>
    <col min="3" max="3" width="22.90625" bestFit="1" customWidth="1"/>
    <col min="4" max="4" width="18.54296875" bestFit="1" customWidth="1"/>
    <col min="5" max="5" width="28.90625" bestFit="1" customWidth="1"/>
    <col min="6" max="6" width="10.453125" bestFit="1" customWidth="1"/>
    <col min="7" max="7" width="21.54296875" bestFit="1" customWidth="1"/>
    <col min="8" max="8" width="22.90625" bestFit="1" customWidth="1"/>
    <col min="9" max="9" width="5.81640625" bestFit="1" customWidth="1"/>
    <col min="10" max="10" width="12.90625" bestFit="1" customWidth="1"/>
    <col min="11" max="11" width="16.7265625" bestFit="1" customWidth="1"/>
    <col min="12" max="12" width="6" bestFit="1" customWidth="1"/>
    <col min="13" max="13" width="8" bestFit="1" customWidth="1"/>
    <col min="14" max="14" width="12" bestFit="1" customWidth="1"/>
    <col min="15" max="15" width="29.453125" bestFit="1" customWidth="1"/>
    <col min="16" max="16" width="22.90625" bestFit="1" customWidth="1"/>
    <col min="17" max="17" width="23.81640625" bestFit="1" customWidth="1"/>
    <col min="18" max="18" width="16.7265625" bestFit="1" customWidth="1"/>
    <col min="19" max="20" width="19.1796875" bestFit="1" customWidth="1"/>
    <col min="21" max="21" width="24.81640625" bestFit="1" customWidth="1"/>
    <col min="22" max="22" width="13.36328125" bestFit="1" customWidth="1"/>
    <col min="23" max="23" width="18.26953125" bestFit="1" customWidth="1"/>
    <col min="24" max="24" width="20.54296875" bestFit="1" customWidth="1"/>
    <col min="25" max="25" width="29.26953125" bestFit="1" customWidth="1"/>
    <col min="26" max="26" width="19.90625" bestFit="1" customWidth="1"/>
    <col min="27" max="27" width="26.81640625" bestFit="1" customWidth="1"/>
    <col min="28" max="28" width="27.54296875" bestFit="1" customWidth="1"/>
    <col min="29" max="29" width="10.453125" bestFit="1" customWidth="1"/>
    <col min="30" max="30" width="24.54296875" bestFit="1" customWidth="1"/>
    <col min="31" max="31" width="30.26953125" bestFit="1" customWidth="1"/>
    <col min="32" max="32" width="25.08984375" bestFit="1" customWidth="1"/>
    <col min="33" max="33" width="22.1796875" bestFit="1" customWidth="1"/>
    <col min="34" max="34" width="14.26953125" bestFit="1" customWidth="1"/>
    <col min="35" max="35" width="19.6328125" bestFit="1" customWidth="1"/>
    <col min="36" max="36" width="15.36328125" bestFit="1" customWidth="1"/>
    <col min="37" max="37" width="18.90625" bestFit="1" customWidth="1"/>
    <col min="38" max="38" width="28.36328125" bestFit="1" customWidth="1"/>
    <col min="39" max="39" width="23.7265625" bestFit="1" customWidth="1"/>
    <col min="40" max="40" width="23.453125" bestFit="1" customWidth="1"/>
    <col min="41" max="41" width="22.1796875" bestFit="1" customWidth="1"/>
    <col min="42" max="42" width="30.26953125" bestFit="1" customWidth="1"/>
    <col min="43" max="43" width="26.7265625" bestFit="1" customWidth="1"/>
    <col min="44" max="44" width="17.26953125" bestFit="1" customWidth="1"/>
    <col min="45" max="45" width="25.90625" bestFit="1" customWidth="1"/>
    <col min="46" max="46" width="30.54296875" bestFit="1" customWidth="1"/>
    <col min="47" max="47" width="17.54296875" bestFit="1" customWidth="1"/>
    <col min="48" max="48" width="10.7265625" bestFit="1" customWidth="1"/>
    <col min="49" max="49" width="18.26953125" bestFit="1" customWidth="1"/>
    <col min="50" max="50" width="20.54296875" bestFit="1" customWidth="1"/>
    <col min="51" max="51" width="29.26953125" bestFit="1" customWidth="1"/>
    <col min="52" max="52" width="19.90625" bestFit="1" customWidth="1"/>
    <col min="53" max="53" width="26.81640625" bestFit="1" customWidth="1"/>
    <col min="54" max="54" width="27.54296875" bestFit="1" customWidth="1"/>
    <col min="55" max="55" width="10.453125" bestFit="1" customWidth="1"/>
    <col min="56" max="56" width="30.26953125" bestFit="1" customWidth="1"/>
    <col min="57" max="57" width="25.08984375" bestFit="1" customWidth="1"/>
    <col min="58" max="58" width="22.1796875" bestFit="1" customWidth="1"/>
    <col min="59" max="59" width="14.26953125" bestFit="1" customWidth="1"/>
    <col min="60" max="60" width="19.6328125" bestFit="1" customWidth="1"/>
    <col min="61" max="61" width="15.36328125" bestFit="1" customWidth="1"/>
    <col min="62" max="62" width="18.90625" bestFit="1" customWidth="1"/>
    <col min="63" max="63" width="23.7265625" bestFit="1" customWidth="1"/>
    <col min="64" max="64" width="23.453125" bestFit="1" customWidth="1"/>
    <col min="65" max="65" width="22.1796875" bestFit="1" customWidth="1"/>
    <col min="66" max="66" width="30.26953125" bestFit="1" customWidth="1"/>
    <col min="67" max="67" width="26.7265625" bestFit="1" customWidth="1"/>
    <col min="68" max="68" width="17.26953125" bestFit="1" customWidth="1"/>
    <col min="69" max="69" width="25.90625" bestFit="1" customWidth="1"/>
    <col min="70" max="70" width="30.54296875" bestFit="1" customWidth="1"/>
    <col min="71" max="71" width="17.54296875" bestFit="1" customWidth="1"/>
    <col min="72" max="72" width="9.6328125" bestFit="1" customWidth="1"/>
    <col min="73" max="73" width="10.7265625" bestFit="1" customWidth="1"/>
    <col min="74" max="127" width="30.54296875" bestFit="1" customWidth="1"/>
    <col min="128" max="128" width="16.7265625" bestFit="1" customWidth="1"/>
    <col min="129" max="129" width="28.6328125" bestFit="1" customWidth="1"/>
    <col min="130" max="130" width="16.90625" bestFit="1" customWidth="1"/>
    <col min="131" max="131" width="28.7265625" bestFit="1" customWidth="1"/>
  </cols>
  <sheetData>
    <row r="3" spans="1:19" x14ac:dyDescent="0.35">
      <c r="A3" s="14" t="s">
        <v>940</v>
      </c>
      <c r="B3" t="s">
        <v>950</v>
      </c>
      <c r="D3" s="14" t="s">
        <v>940</v>
      </c>
      <c r="E3" t="s">
        <v>945</v>
      </c>
      <c r="J3" s="14" t="s">
        <v>38</v>
      </c>
      <c r="K3" t="s">
        <v>942</v>
      </c>
    </row>
    <row r="4" spans="1:19" x14ac:dyDescent="0.35">
      <c r="A4" s="15" t="s">
        <v>50</v>
      </c>
      <c r="B4">
        <v>189</v>
      </c>
      <c r="D4" s="15" t="s">
        <v>52</v>
      </c>
      <c r="E4">
        <v>307</v>
      </c>
    </row>
    <row r="5" spans="1:19" x14ac:dyDescent="0.35">
      <c r="A5" s="15" t="s">
        <v>55</v>
      </c>
      <c r="B5">
        <v>175</v>
      </c>
      <c r="D5" s="15" t="s">
        <v>51</v>
      </c>
      <c r="E5">
        <v>57</v>
      </c>
      <c r="G5" s="14" t="s">
        <v>940</v>
      </c>
      <c r="H5" t="s">
        <v>948</v>
      </c>
      <c r="J5" s="14" t="s">
        <v>940</v>
      </c>
      <c r="K5" t="s">
        <v>949</v>
      </c>
      <c r="N5" s="14" t="s">
        <v>940</v>
      </c>
      <c r="O5" t="s">
        <v>951</v>
      </c>
    </row>
    <row r="6" spans="1:19" x14ac:dyDescent="0.35">
      <c r="A6" s="15" t="s">
        <v>941</v>
      </c>
      <c r="B6">
        <v>364</v>
      </c>
      <c r="D6" s="15" t="s">
        <v>941</v>
      </c>
      <c r="E6">
        <v>364</v>
      </c>
      <c r="G6" s="15" t="s">
        <v>73</v>
      </c>
      <c r="H6">
        <v>1</v>
      </c>
      <c r="J6" s="15" t="s">
        <v>59</v>
      </c>
      <c r="K6">
        <v>58</v>
      </c>
      <c r="N6" s="15" t="s">
        <v>64</v>
      </c>
      <c r="O6">
        <v>12</v>
      </c>
    </row>
    <row r="7" spans="1:19" x14ac:dyDescent="0.35">
      <c r="G7" s="15" t="s">
        <v>72</v>
      </c>
      <c r="H7">
        <v>1</v>
      </c>
      <c r="J7" s="15" t="s">
        <v>79</v>
      </c>
      <c r="K7">
        <v>1</v>
      </c>
      <c r="N7" s="15" t="s">
        <v>60</v>
      </c>
      <c r="O7">
        <v>68</v>
      </c>
    </row>
    <row r="8" spans="1:19" x14ac:dyDescent="0.35">
      <c r="G8" s="15" t="s">
        <v>79</v>
      </c>
      <c r="H8">
        <v>1</v>
      </c>
      <c r="J8" s="15" t="s">
        <v>86</v>
      </c>
      <c r="K8">
        <v>1</v>
      </c>
      <c r="N8" s="15" t="s">
        <v>52</v>
      </c>
      <c r="O8">
        <v>284</v>
      </c>
    </row>
    <row r="9" spans="1:19" x14ac:dyDescent="0.35">
      <c r="A9" s="14" t="s">
        <v>940</v>
      </c>
      <c r="B9" t="s">
        <v>943</v>
      </c>
      <c r="D9" s="14" t="s">
        <v>940</v>
      </c>
      <c r="E9" t="s">
        <v>947</v>
      </c>
      <c r="G9" s="15" t="s">
        <v>86</v>
      </c>
      <c r="H9">
        <v>1</v>
      </c>
      <c r="J9" s="15" t="s">
        <v>53</v>
      </c>
      <c r="K9">
        <v>4</v>
      </c>
      <c r="N9" s="15" t="s">
        <v>946</v>
      </c>
    </row>
    <row r="10" spans="1:19" x14ac:dyDescent="0.35">
      <c r="A10" s="15" t="s">
        <v>49</v>
      </c>
      <c r="B10">
        <v>364</v>
      </c>
      <c r="D10" s="15" t="s">
        <v>51</v>
      </c>
      <c r="E10">
        <v>141</v>
      </c>
      <c r="G10" s="15" t="s">
        <v>94</v>
      </c>
      <c r="H10">
        <v>1</v>
      </c>
      <c r="J10" s="15" t="s">
        <v>75</v>
      </c>
      <c r="K10">
        <v>4</v>
      </c>
      <c r="N10" s="15" t="s">
        <v>941</v>
      </c>
      <c r="O10">
        <v>364</v>
      </c>
    </row>
    <row r="11" spans="1:19" x14ac:dyDescent="0.35">
      <c r="A11" s="15" t="s">
        <v>941</v>
      </c>
      <c r="B11">
        <v>364</v>
      </c>
      <c r="D11" s="15" t="s">
        <v>946</v>
      </c>
      <c r="G11" s="15" t="s">
        <v>96</v>
      </c>
      <c r="H11">
        <v>1</v>
      </c>
      <c r="J11" s="15" t="s">
        <v>96</v>
      </c>
      <c r="K11">
        <v>1</v>
      </c>
    </row>
    <row r="12" spans="1:19" x14ac:dyDescent="0.35">
      <c r="D12" s="15" t="s">
        <v>941</v>
      </c>
      <c r="E12">
        <v>141</v>
      </c>
      <c r="G12" s="15" t="s">
        <v>88</v>
      </c>
      <c r="H12">
        <v>1</v>
      </c>
      <c r="J12" s="15" t="s">
        <v>85</v>
      </c>
      <c r="K12">
        <v>2</v>
      </c>
      <c r="N12" t="s">
        <v>952</v>
      </c>
      <c r="O12" t="s">
        <v>945</v>
      </c>
      <c r="P12" t="s">
        <v>948</v>
      </c>
      <c r="Q12" t="s">
        <v>944</v>
      </c>
      <c r="R12" t="s">
        <v>947</v>
      </c>
      <c r="S12" t="s">
        <v>951</v>
      </c>
    </row>
    <row r="13" spans="1:19" x14ac:dyDescent="0.35">
      <c r="G13" s="15" t="s">
        <v>87</v>
      </c>
      <c r="H13">
        <v>1</v>
      </c>
      <c r="J13" s="15" t="s">
        <v>56</v>
      </c>
      <c r="K13">
        <v>34</v>
      </c>
      <c r="N13">
        <v>364</v>
      </c>
      <c r="O13">
        <v>364</v>
      </c>
      <c r="P13">
        <v>0</v>
      </c>
      <c r="Q13">
        <v>364</v>
      </c>
      <c r="R13">
        <v>141</v>
      </c>
      <c r="S13">
        <v>364</v>
      </c>
    </row>
    <row r="14" spans="1:19" x14ac:dyDescent="0.35">
      <c r="A14" s="14" t="s">
        <v>940</v>
      </c>
      <c r="B14" t="s">
        <v>944</v>
      </c>
      <c r="G14" s="15" t="s">
        <v>98</v>
      </c>
      <c r="H14">
        <v>1</v>
      </c>
      <c r="J14" s="15" t="s">
        <v>63</v>
      </c>
      <c r="K14">
        <v>55</v>
      </c>
    </row>
    <row r="15" spans="1:19" x14ac:dyDescent="0.35">
      <c r="A15" s="15" t="s">
        <v>12</v>
      </c>
      <c r="B15">
        <v>1</v>
      </c>
      <c r="D15">
        <f>GETPIVOTDATA("Sex",$A$3)</f>
        <v>364</v>
      </c>
      <c r="G15" s="15" t="s">
        <v>100</v>
      </c>
      <c r="H15">
        <v>1</v>
      </c>
      <c r="J15" s="15" t="s">
        <v>95</v>
      </c>
      <c r="K15">
        <v>1</v>
      </c>
    </row>
    <row r="16" spans="1:19" x14ac:dyDescent="0.35">
      <c r="A16" s="15" t="s">
        <v>3</v>
      </c>
      <c r="B16">
        <v>1</v>
      </c>
      <c r="D16">
        <f>GETPIVOTDATA("Graduate Assistantship",$D$3,"Graduate Assistantship","Yes")</f>
        <v>57</v>
      </c>
      <c r="G16" s="15" t="s">
        <v>89</v>
      </c>
      <c r="H16">
        <v>1</v>
      </c>
      <c r="J16" s="15" t="s">
        <v>69</v>
      </c>
      <c r="K16">
        <v>12</v>
      </c>
    </row>
    <row r="17" spans="1:11" x14ac:dyDescent="0.35">
      <c r="A17" s="15" t="s">
        <v>23</v>
      </c>
      <c r="B17">
        <v>1</v>
      </c>
      <c r="D17">
        <f>COUNTA(G6:G38)</f>
        <v>33</v>
      </c>
      <c r="G17" s="15" t="s">
        <v>97</v>
      </c>
      <c r="H17">
        <v>1</v>
      </c>
      <c r="J17" s="15" t="s">
        <v>98</v>
      </c>
      <c r="K17">
        <v>1</v>
      </c>
    </row>
    <row r="18" spans="1:11" x14ac:dyDescent="0.35">
      <c r="A18" s="15" t="s">
        <v>6</v>
      </c>
      <c r="B18">
        <v>1</v>
      </c>
      <c r="D18">
        <f>COUNTA(A15:A47)</f>
        <v>33</v>
      </c>
      <c r="G18" s="15" t="s">
        <v>99</v>
      </c>
      <c r="H18">
        <v>1</v>
      </c>
      <c r="J18" s="15" t="s">
        <v>84</v>
      </c>
      <c r="K18">
        <v>3</v>
      </c>
    </row>
    <row r="19" spans="1:11" x14ac:dyDescent="0.35">
      <c r="A19" s="15" t="s">
        <v>24</v>
      </c>
      <c r="B19">
        <v>1</v>
      </c>
      <c r="D19">
        <f>GETPIVOTDATA("I-901 Fee",$D$9)</f>
        <v>141</v>
      </c>
      <c r="G19" s="15" t="s">
        <v>83</v>
      </c>
      <c r="H19">
        <v>1</v>
      </c>
      <c r="J19" s="15" t="s">
        <v>99</v>
      </c>
      <c r="K19">
        <v>1</v>
      </c>
    </row>
    <row r="20" spans="1:11" x14ac:dyDescent="0.35">
      <c r="A20" s="15" t="s">
        <v>30</v>
      </c>
      <c r="B20">
        <v>1</v>
      </c>
      <c r="D20">
        <f>SUM(O6:O7)</f>
        <v>80</v>
      </c>
      <c r="G20" s="15" t="s">
        <v>95</v>
      </c>
      <c r="H20">
        <v>1</v>
      </c>
      <c r="J20" s="15" t="s">
        <v>67</v>
      </c>
      <c r="K20">
        <v>57</v>
      </c>
    </row>
    <row r="21" spans="1:11" x14ac:dyDescent="0.35">
      <c r="A21" s="15" t="s">
        <v>27</v>
      </c>
      <c r="B21">
        <v>1</v>
      </c>
      <c r="G21" s="15" t="s">
        <v>78</v>
      </c>
      <c r="H21">
        <v>1</v>
      </c>
      <c r="J21" s="15" t="s">
        <v>72</v>
      </c>
      <c r="K21">
        <v>1</v>
      </c>
    </row>
    <row r="22" spans="1:11" x14ac:dyDescent="0.35">
      <c r="A22" s="15" t="s">
        <v>31</v>
      </c>
      <c r="B22">
        <v>2</v>
      </c>
      <c r="G22" s="15" t="s">
        <v>77</v>
      </c>
      <c r="H22">
        <v>2</v>
      </c>
      <c r="J22" s="15" t="s">
        <v>73</v>
      </c>
      <c r="K22">
        <v>1</v>
      </c>
    </row>
    <row r="23" spans="1:11" x14ac:dyDescent="0.35">
      <c r="A23" s="15" t="s">
        <v>28</v>
      </c>
      <c r="B23">
        <v>2</v>
      </c>
      <c r="G23" s="15" t="s">
        <v>85</v>
      </c>
      <c r="H23">
        <v>2</v>
      </c>
      <c r="J23" s="15" t="s">
        <v>94</v>
      </c>
      <c r="K23">
        <v>1</v>
      </c>
    </row>
    <row r="24" spans="1:11" x14ac:dyDescent="0.35">
      <c r="A24" s="15" t="s">
        <v>11</v>
      </c>
      <c r="B24">
        <v>2</v>
      </c>
      <c r="G24" s="15" t="s">
        <v>82</v>
      </c>
      <c r="H24">
        <v>2</v>
      </c>
      <c r="J24" s="15" t="s">
        <v>77</v>
      </c>
      <c r="K24">
        <v>2</v>
      </c>
    </row>
    <row r="25" spans="1:11" x14ac:dyDescent="0.35">
      <c r="A25" s="15" t="s">
        <v>4</v>
      </c>
      <c r="B25">
        <v>2</v>
      </c>
      <c r="G25" s="15" t="s">
        <v>90</v>
      </c>
      <c r="H25">
        <v>2</v>
      </c>
      <c r="J25" s="15" t="s">
        <v>61</v>
      </c>
      <c r="K25">
        <v>20</v>
      </c>
    </row>
    <row r="26" spans="1:11" x14ac:dyDescent="0.35">
      <c r="A26" s="15" t="s">
        <v>16</v>
      </c>
      <c r="B26">
        <v>3</v>
      </c>
      <c r="G26" s="15" t="s">
        <v>71</v>
      </c>
      <c r="H26">
        <v>3</v>
      </c>
      <c r="J26" s="15" t="s">
        <v>57</v>
      </c>
      <c r="K26">
        <v>75</v>
      </c>
    </row>
    <row r="27" spans="1:11" x14ac:dyDescent="0.35">
      <c r="A27" s="15" t="s">
        <v>1</v>
      </c>
      <c r="B27">
        <v>3</v>
      </c>
      <c r="G27" s="15" t="s">
        <v>84</v>
      </c>
      <c r="H27">
        <v>3</v>
      </c>
      <c r="J27" s="15" t="s">
        <v>66</v>
      </c>
      <c r="K27">
        <v>10</v>
      </c>
    </row>
    <row r="28" spans="1:11" x14ac:dyDescent="0.35">
      <c r="A28" s="15" t="s">
        <v>32</v>
      </c>
      <c r="B28">
        <v>3</v>
      </c>
      <c r="G28" s="15" t="s">
        <v>75</v>
      </c>
      <c r="H28">
        <v>4</v>
      </c>
      <c r="J28" s="15" t="s">
        <v>71</v>
      </c>
      <c r="K28">
        <v>3</v>
      </c>
    </row>
    <row r="29" spans="1:11" x14ac:dyDescent="0.35">
      <c r="A29" s="15" t="s">
        <v>15</v>
      </c>
      <c r="B29">
        <v>3</v>
      </c>
      <c r="G29" s="15" t="s">
        <v>53</v>
      </c>
      <c r="H29">
        <v>4</v>
      </c>
      <c r="J29" s="15" t="s">
        <v>100</v>
      </c>
      <c r="K29">
        <v>1</v>
      </c>
    </row>
    <row r="30" spans="1:11" x14ac:dyDescent="0.35">
      <c r="A30" s="15" t="s">
        <v>14</v>
      </c>
      <c r="B30">
        <v>3</v>
      </c>
      <c r="G30" s="15" t="s">
        <v>74</v>
      </c>
      <c r="H30">
        <v>5</v>
      </c>
      <c r="J30" s="15" t="s">
        <v>97</v>
      </c>
      <c r="K30">
        <v>1</v>
      </c>
    </row>
    <row r="31" spans="1:11" x14ac:dyDescent="0.35">
      <c r="A31" s="15" t="s">
        <v>25</v>
      </c>
      <c r="B31">
        <v>4</v>
      </c>
      <c r="G31" s="15" t="s">
        <v>66</v>
      </c>
      <c r="H31">
        <v>10</v>
      </c>
      <c r="J31" s="15" t="s">
        <v>83</v>
      </c>
      <c r="K31">
        <v>1</v>
      </c>
    </row>
    <row r="32" spans="1:11" x14ac:dyDescent="0.35">
      <c r="A32" s="15" t="s">
        <v>10</v>
      </c>
      <c r="B32">
        <v>4</v>
      </c>
      <c r="G32" s="15" t="s">
        <v>69</v>
      </c>
      <c r="H32">
        <v>12</v>
      </c>
      <c r="J32" s="15" t="s">
        <v>90</v>
      </c>
      <c r="K32">
        <v>2</v>
      </c>
    </row>
    <row r="33" spans="1:11" x14ac:dyDescent="0.35">
      <c r="A33" s="15" t="s">
        <v>2</v>
      </c>
      <c r="B33">
        <v>4</v>
      </c>
      <c r="G33" s="15" t="s">
        <v>61</v>
      </c>
      <c r="H33">
        <v>20</v>
      </c>
      <c r="J33" s="15" t="s">
        <v>78</v>
      </c>
      <c r="K33">
        <v>1</v>
      </c>
    </row>
    <row r="34" spans="1:11" x14ac:dyDescent="0.35">
      <c r="A34" s="15" t="s">
        <v>22</v>
      </c>
      <c r="B34">
        <v>5</v>
      </c>
      <c r="G34" s="15" t="s">
        <v>56</v>
      </c>
      <c r="H34">
        <v>34</v>
      </c>
      <c r="J34" s="15" t="s">
        <v>82</v>
      </c>
      <c r="K34">
        <v>2</v>
      </c>
    </row>
    <row r="35" spans="1:11" x14ac:dyDescent="0.35">
      <c r="A35" s="15" t="s">
        <v>19</v>
      </c>
      <c r="B35">
        <v>6</v>
      </c>
      <c r="G35" s="15" t="s">
        <v>63</v>
      </c>
      <c r="H35">
        <v>55</v>
      </c>
      <c r="J35" s="15" t="s">
        <v>88</v>
      </c>
      <c r="K35">
        <v>1</v>
      </c>
    </row>
    <row r="36" spans="1:11" x14ac:dyDescent="0.35">
      <c r="A36" s="15" t="s">
        <v>21</v>
      </c>
      <c r="B36">
        <v>6</v>
      </c>
      <c r="G36" s="15" t="s">
        <v>67</v>
      </c>
      <c r="H36">
        <v>57</v>
      </c>
      <c r="J36" s="15" t="s">
        <v>87</v>
      </c>
      <c r="K36">
        <v>1</v>
      </c>
    </row>
    <row r="37" spans="1:11" x14ac:dyDescent="0.35">
      <c r="A37" s="15" t="s">
        <v>20</v>
      </c>
      <c r="B37">
        <v>6</v>
      </c>
      <c r="G37" s="15" t="s">
        <v>59</v>
      </c>
      <c r="H37">
        <v>58</v>
      </c>
      <c r="J37" s="15" t="s">
        <v>74</v>
      </c>
      <c r="K37">
        <v>5</v>
      </c>
    </row>
    <row r="38" spans="1:11" x14ac:dyDescent="0.35">
      <c r="A38" s="15" t="s">
        <v>8</v>
      </c>
      <c r="B38">
        <v>7</v>
      </c>
      <c r="G38" s="15" t="s">
        <v>57</v>
      </c>
      <c r="H38">
        <v>75</v>
      </c>
      <c r="J38" s="15" t="s">
        <v>89</v>
      </c>
      <c r="K38">
        <v>1</v>
      </c>
    </row>
    <row r="39" spans="1:11" x14ac:dyDescent="0.35">
      <c r="A39" s="15" t="s">
        <v>7</v>
      </c>
      <c r="B39">
        <v>8</v>
      </c>
      <c r="G39" s="15" t="s">
        <v>941</v>
      </c>
      <c r="H39">
        <v>364</v>
      </c>
      <c r="J39" s="15" t="s">
        <v>941</v>
      </c>
      <c r="K39">
        <v>364</v>
      </c>
    </row>
    <row r="40" spans="1:11" x14ac:dyDescent="0.35">
      <c r="A40" s="15" t="s">
        <v>17</v>
      </c>
      <c r="B40">
        <v>9</v>
      </c>
    </row>
    <row r="41" spans="1:11" x14ac:dyDescent="0.35">
      <c r="A41" s="15" t="s">
        <v>18</v>
      </c>
      <c r="B41">
        <v>10</v>
      </c>
    </row>
    <row r="42" spans="1:11" x14ac:dyDescent="0.35">
      <c r="A42" s="15" t="s">
        <v>0</v>
      </c>
      <c r="B42">
        <v>14</v>
      </c>
    </row>
    <row r="43" spans="1:11" x14ac:dyDescent="0.35">
      <c r="A43" s="15" t="s">
        <v>13</v>
      </c>
      <c r="B43">
        <v>16</v>
      </c>
      <c r="J43" s="14" t="s">
        <v>940</v>
      </c>
      <c r="K43" t="s">
        <v>947</v>
      </c>
    </row>
    <row r="44" spans="1:11" x14ac:dyDescent="0.35">
      <c r="A44" s="15" t="s">
        <v>29</v>
      </c>
      <c r="B44">
        <v>24</v>
      </c>
      <c r="J44" s="15" t="s">
        <v>51</v>
      </c>
      <c r="K44">
        <v>141</v>
      </c>
    </row>
    <row r="45" spans="1:11" x14ac:dyDescent="0.35">
      <c r="A45" s="15" t="s">
        <v>26</v>
      </c>
      <c r="B45">
        <v>54</v>
      </c>
      <c r="J45" s="15" t="s">
        <v>946</v>
      </c>
    </row>
    <row r="46" spans="1:11" x14ac:dyDescent="0.35">
      <c r="A46" s="15" t="s">
        <v>9</v>
      </c>
      <c r="B46">
        <v>68</v>
      </c>
      <c r="J46" s="15" t="s">
        <v>941</v>
      </c>
      <c r="K46">
        <v>141</v>
      </c>
    </row>
    <row r="47" spans="1:11" x14ac:dyDescent="0.35">
      <c r="A47" s="15" t="s">
        <v>5</v>
      </c>
      <c r="B47">
        <v>89</v>
      </c>
    </row>
    <row r="48" spans="1:11" x14ac:dyDescent="0.35">
      <c r="A48" s="15" t="s">
        <v>941</v>
      </c>
      <c r="B48">
        <v>364</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75EC4-65E9-4A2E-AEBA-9440E628DC02}">
  <sheetPr>
    <tabColor rgb="FF5E0009"/>
  </sheetPr>
  <dimension ref="A1"/>
  <sheetViews>
    <sheetView tabSelected="1" zoomScale="85" zoomScaleNormal="85" workbookViewId="0">
      <selection activeCell="AC27" sqref="AC27"/>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C1F265DE1A6E549A098B01EE4C3CB9E" ma:contentTypeVersion="21" ma:contentTypeDescription="Create a new document." ma:contentTypeScope="" ma:versionID="ec8349620f42c1972e424b82ad51e77f">
  <xsd:schema xmlns:xsd="http://www.w3.org/2001/XMLSchema" xmlns:xs="http://www.w3.org/2001/XMLSchema" xmlns:p="http://schemas.microsoft.com/office/2006/metadata/properties" xmlns:ns1="http://schemas.microsoft.com/sharepoint/v3" xmlns:ns2="79db01db-ad82-415e-9754-c33d6cc681ce" xmlns:ns3="d5474bbf-7f2f-4fef-bf4e-56fbab725da5" xmlns:ns4="613ae102-8ecb-4d79-b105-0a7e106dbe76" targetNamespace="http://schemas.microsoft.com/office/2006/metadata/properties" ma:root="true" ma:fieldsID="f852aff6b827301553c189d18b3c6053" ns1:_="" ns2:_="" ns3:_="" ns4:_="">
    <xsd:import namespace="http://schemas.microsoft.com/sharepoint/v3"/>
    <xsd:import namespace="79db01db-ad82-415e-9754-c33d6cc681ce"/>
    <xsd:import namespace="d5474bbf-7f2f-4fef-bf4e-56fbab725da5"/>
    <xsd:import namespace="613ae102-8ecb-4d79-b105-0a7e106dbe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Location" minOccurs="0"/>
                <xsd:element ref="ns3:downloaded" minOccurs="0"/>
                <xsd:element ref="ns3:trtc" minOccurs="0"/>
                <xsd:element ref="ns1:_ip_UnifiedCompliancePolicyProperties" minOccurs="0"/>
                <xsd:element ref="ns1:_ip_UnifiedCompliancePolicyUIAction" minOccurs="0"/>
                <xsd:element ref="ns3:lcf76f155ced4ddcb4097134ff3c332f" minOccurs="0"/>
                <xsd:element ref="ns4: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9db01db-ad82-415e-9754-c33d6cc681c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5474bbf-7f2f-4fef-bf4e-56fbab725da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downloaded" ma:index="20" nillable="true" ma:displayName="downloaded" ma:format="Dropdown" ma:internalName="downloaded">
      <xsd:simpleType>
        <xsd:restriction base="dms:Text">
          <xsd:maxLength value="255"/>
        </xsd:restriction>
      </xsd:simpleType>
    </xsd:element>
    <xsd:element name="trtc" ma:index="21" nillable="true" ma:displayName="Text" ma:internalName="trtc">
      <xsd:simpleType>
        <xsd:restriction base="dms:Text"/>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cda40051-455f-48ac-bab4-8728f93bacd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13ae102-8ecb-4d79-b105-0a7e106dbe76" elementFormDefault="qualified">
    <xsd:import namespace="http://schemas.microsoft.com/office/2006/documentManagement/types"/>
    <xsd:import namespace="http://schemas.microsoft.com/office/infopath/2007/PartnerControls"/>
    <xsd:element name="TaxCatchAll" ma:index="26" nillable="true" ma:displayName="Taxonomy Catch All Column" ma:hidden="true" ma:list="{88c02160-189a-4c17-a2ea-e19f3027eec3}" ma:internalName="TaxCatchAll" ma:showField="CatchAllData" ma:web="613ae102-8ecb-4d79-b105-0a7e106dbe7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d5474bbf-7f2f-4fef-bf4e-56fbab725da5">
      <Terms xmlns="http://schemas.microsoft.com/office/infopath/2007/PartnerControls"/>
    </lcf76f155ced4ddcb4097134ff3c332f>
    <TaxCatchAll xmlns="613ae102-8ecb-4d79-b105-0a7e106dbe76" xsi:nil="true"/>
    <trtc xmlns="d5474bbf-7f2f-4fef-bf4e-56fbab725da5" xsi:nil="true"/>
    <downloaded xmlns="d5474bbf-7f2f-4fef-bf4e-56fbab725da5" xsi:nil="true"/>
  </documentManagement>
</p:properties>
</file>

<file path=customXml/item4.xml>��
</file>

<file path=customXml/itemProps1.xml><?xml version="1.0" encoding="utf-8"?>
<ds:datastoreItem xmlns:ds="http://schemas.openxmlformats.org/officeDocument/2006/customXml" ds:itemID="{5B04FD48-105B-40FA-9CEF-3071B8706133}">
  <ds:schemaRefs>
    <ds:schemaRef ds:uri="http://schemas.microsoft.com/sharepoint/v3/contenttype/forms"/>
  </ds:schemaRefs>
</ds:datastoreItem>
</file>

<file path=customXml/itemProps2.xml><?xml version="1.0" encoding="utf-8"?>
<ds:datastoreItem xmlns:ds="http://schemas.openxmlformats.org/officeDocument/2006/customXml" ds:itemID="{2756DD7C-F05E-4455-B066-2222FD7AC20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9db01db-ad82-415e-9754-c33d6cc681ce"/>
    <ds:schemaRef ds:uri="d5474bbf-7f2f-4fef-bf4e-56fbab725da5"/>
    <ds:schemaRef ds:uri="613ae102-8ecb-4d79-b105-0a7e106dbe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B41ECE3-C2E4-4952-954A-4B296AE94A6B}">
  <ds:schemaRefs>
    <ds:schemaRef ds:uri="http://schemas.microsoft.com/office/2006/metadata/properties"/>
    <ds:schemaRef ds:uri="http://schemas.microsoft.com/office/infopath/2007/PartnerControls"/>
    <ds:schemaRef ds:uri="http://schemas.microsoft.com/sharepoint/v3"/>
    <ds:schemaRef ds:uri="d5474bbf-7f2f-4fef-bf4e-56fbab725da5"/>
    <ds:schemaRef ds:uri="613ae102-8ecb-4d79-b105-0a7e106dbe76"/>
  </ds:schemaRefs>
</ds:datastoreItem>
</file>

<file path=customXml/itemProps4.xml><?xml version="1.0" encoding="utf-8"?>
<ds:datastoreItem xmlns:ds="http://schemas.openxmlformats.org/officeDocument/2006/customXml" ds:itemID="{D70ABDA8-E0B6-4120-8627-598AABCFC43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202540 (Raw)</vt:lpstr>
      <vt:lpstr>Normalization</vt:lpstr>
      <vt:lpstr>Table</vt:lpstr>
      <vt:lpstr>Design</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Pulley, Rheanna C</dc:creator>
  <cp:keywords/>
  <dc:description/>
  <cp:lastModifiedBy>Duong, Hieu M</cp:lastModifiedBy>
  <cp:revision/>
  <cp:lastPrinted>2025-10-08T15:31:55Z</cp:lastPrinted>
  <dcterms:created xsi:type="dcterms:W3CDTF">2025-04-23T19:51:52Z</dcterms:created>
  <dcterms:modified xsi:type="dcterms:W3CDTF">2025-10-08T19:48:32Z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0x010100DC1F265DE1A6E549A098B01EE4C3CB9E</vt:lpwstr>
  </property>
  <property fmtid="{D5CDD505-2E9C-101B-9397-08002B2CF9AE}" pid="3" name="MediaServiceImageTags">
    <vt:lpwstr/>
  </property>
</Properties>
</file>